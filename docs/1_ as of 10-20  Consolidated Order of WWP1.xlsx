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Jeremiah\Plant 1 Main\Files\"/>
    </mc:Choice>
  </mc:AlternateContent>
  <xr:revisionPtr revIDLastSave="0" documentId="8_{79993467-1C1E-4A8F-8E58-BB98EA167EB3}" xr6:coauthVersionLast="47" xr6:coauthVersionMax="47" xr10:uidLastSave="{00000000-0000-0000-0000-000000000000}"/>
  <bookViews>
    <workbookView xWindow="-120" yWindow="-120" windowWidth="29040" windowHeight="15720" tabRatio="816" firstSheet="2" activeTab="3" xr2:uid="{06D6AE17-83E6-437D-A168-C497133F3D8C}"/>
  </bookViews>
  <sheets>
    <sheet name="USA 8217" sheetId="3" state="hidden" r:id="rId1"/>
    <sheet name="Sheet9" sheetId="9" state="hidden" r:id="rId2"/>
    <sheet name="Sheet4" sheetId="4" r:id="rId3"/>
    <sheet name="Consolidation FG" sheetId="8" r:id="rId4"/>
    <sheet name="Sheet1" sheetId="14" r:id="rId5"/>
    <sheet name="Sheet5" sheetId="5" state="hidden" r:id="rId6"/>
    <sheet name="GEORGIA 8477" sheetId="2" state="hidden" r:id="rId7"/>
    <sheet name="CANADA BSAUNAS 8641 " sheetId="1" state="hidden" r:id="rId8"/>
  </sheets>
  <definedNames>
    <definedName name="_xlnm._FilterDatabase" localSheetId="6" hidden="1">'GEORGIA 8477'!$B$4:$BF$80</definedName>
    <definedName name="_xlnm._FilterDatabase" localSheetId="2" hidden="1">Sheet4!$A$1:$F$389</definedName>
    <definedName name="_xlnm._FilterDatabase" localSheetId="0" hidden="1">'USA 8217'!$B$4:$BF$138</definedName>
    <definedName name="_xlnm.Print_Area" localSheetId="7">'CANADA BSAUNAS 8641 '!$B$1:$W$46</definedName>
    <definedName name="_xlnm.Print_Area" localSheetId="6">'GEORGIA 8477'!$B$1:$W$80</definedName>
    <definedName name="_xlnm.Print_Area" localSheetId="0">'USA 8217'!$B$1:$W$136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L5" i="3"/>
  <c r="M5" i="3"/>
  <c r="N5" i="3"/>
  <c r="O5" i="3"/>
  <c r="P5" i="3"/>
  <c r="Q5" i="3"/>
  <c r="R5" i="3"/>
  <c r="BC127" i="3"/>
  <c r="BC126" i="3"/>
  <c r="BC125" i="3"/>
  <c r="G125" i="3"/>
  <c r="BC124" i="3"/>
  <c r="G124" i="3"/>
  <c r="BC123" i="3"/>
  <c r="G123" i="3"/>
  <c r="BC122" i="3"/>
  <c r="G122" i="3"/>
  <c r="BC121" i="3"/>
  <c r="G121" i="3"/>
  <c r="BC120" i="3"/>
  <c r="G120" i="3"/>
  <c r="BC119" i="3"/>
  <c r="G119" i="3"/>
  <c r="BC118" i="3"/>
  <c r="G118" i="3"/>
  <c r="BC117" i="3"/>
  <c r="G117" i="3"/>
  <c r="BC116" i="3"/>
  <c r="G116" i="3"/>
  <c r="BC115" i="3"/>
  <c r="G115" i="3"/>
  <c r="BC114" i="3"/>
  <c r="G114" i="3"/>
  <c r="BC113" i="3"/>
  <c r="G113" i="3"/>
  <c r="BC112" i="3"/>
  <c r="G112" i="3"/>
  <c r="BC111" i="3"/>
  <c r="G111" i="3"/>
  <c r="E111" i="3"/>
  <c r="BC110" i="3"/>
  <c r="G110" i="3"/>
  <c r="BC109" i="3"/>
  <c r="G109" i="3"/>
  <c r="E109" i="3"/>
  <c r="BC108" i="3"/>
  <c r="G108" i="3"/>
  <c r="BC107" i="3"/>
  <c r="G107" i="3"/>
  <c r="BC106" i="3"/>
  <c r="G106" i="3"/>
  <c r="E106" i="3"/>
  <c r="BC105" i="3"/>
  <c r="G105" i="3"/>
  <c r="BC104" i="3"/>
  <c r="G104" i="3"/>
  <c r="E104" i="3"/>
  <c r="BC103" i="3"/>
  <c r="G103" i="3"/>
  <c r="E103" i="3"/>
  <c r="BC102" i="3"/>
  <c r="G102" i="3"/>
  <c r="E102" i="3"/>
  <c r="BC101" i="3"/>
  <c r="G101" i="3"/>
  <c r="E101" i="3"/>
  <c r="BC100" i="3"/>
  <c r="G100" i="3"/>
  <c r="E100" i="3"/>
  <c r="BC99" i="3"/>
  <c r="G99" i="3"/>
  <c r="BC98" i="3"/>
  <c r="G98" i="3"/>
  <c r="E98" i="3"/>
  <c r="BC97" i="3"/>
  <c r="G97" i="3"/>
  <c r="E97" i="3"/>
  <c r="BC96" i="3"/>
  <c r="G96" i="3"/>
  <c r="E96" i="3"/>
  <c r="BC95" i="3"/>
  <c r="G95" i="3"/>
  <c r="BC94" i="3"/>
  <c r="G94" i="3"/>
  <c r="BC93" i="3"/>
  <c r="G93" i="3"/>
  <c r="E93" i="3"/>
  <c r="BC92" i="3"/>
  <c r="G92" i="3"/>
  <c r="E92" i="3"/>
  <c r="BC91" i="3"/>
  <c r="G91" i="3"/>
  <c r="E91" i="3"/>
  <c r="BC90" i="3"/>
  <c r="G90" i="3"/>
  <c r="BC89" i="3"/>
  <c r="G89" i="3"/>
  <c r="E89" i="3"/>
  <c r="BC88" i="3"/>
  <c r="G88" i="3"/>
  <c r="E88" i="3"/>
  <c r="BC87" i="3"/>
  <c r="G87" i="3"/>
  <c r="E87" i="3"/>
  <c r="BC86" i="3"/>
  <c r="G86" i="3"/>
  <c r="E86" i="3"/>
  <c r="BC85" i="3"/>
  <c r="G85" i="3"/>
  <c r="BC84" i="3"/>
  <c r="G84" i="3"/>
  <c r="E84" i="3"/>
  <c r="BC83" i="3"/>
  <c r="G83" i="3"/>
  <c r="E83" i="3"/>
  <c r="BC82" i="3"/>
  <c r="G82" i="3"/>
  <c r="E82" i="3"/>
  <c r="BC81" i="3"/>
  <c r="G81" i="3"/>
  <c r="E81" i="3"/>
  <c r="BC80" i="3"/>
  <c r="G80" i="3"/>
  <c r="E80" i="3"/>
  <c r="BC79" i="3"/>
  <c r="G79" i="3"/>
  <c r="BC78" i="3"/>
  <c r="G78" i="3"/>
  <c r="E78" i="3"/>
  <c r="BC77" i="3"/>
  <c r="G77" i="3"/>
  <c r="E77" i="3"/>
  <c r="BC76" i="3"/>
  <c r="G76" i="3"/>
  <c r="E76" i="3"/>
  <c r="BC75" i="3"/>
  <c r="G75" i="3"/>
  <c r="E75" i="3"/>
  <c r="E4" i="3" s="1"/>
  <c r="BC74" i="3"/>
  <c r="G74" i="3"/>
  <c r="BC73" i="3"/>
  <c r="G73" i="3"/>
  <c r="BC72" i="3"/>
  <c r="G72" i="3"/>
  <c r="BC62" i="3"/>
  <c r="G62" i="3"/>
  <c r="BC52" i="3"/>
  <c r="G52" i="3"/>
  <c r="BC42" i="3"/>
  <c r="G42" i="3"/>
  <c r="BC32" i="3"/>
  <c r="G32" i="3"/>
  <c r="BC24" i="3"/>
  <c r="G24" i="3"/>
  <c r="BC16" i="3"/>
  <c r="G16" i="3"/>
  <c r="BC15" i="3"/>
  <c r="G15" i="3"/>
  <c r="BC14" i="3"/>
  <c r="G14" i="3"/>
  <c r="BC13" i="3"/>
  <c r="G13" i="3"/>
  <c r="BC12" i="3"/>
  <c r="G12" i="3"/>
  <c r="BC11" i="3"/>
  <c r="G11" i="3"/>
  <c r="BC10" i="3"/>
  <c r="G10" i="3"/>
  <c r="BC9" i="3"/>
  <c r="G9" i="3"/>
  <c r="BC8" i="3"/>
  <c r="G8" i="3"/>
  <c r="F4" i="3"/>
  <c r="BC80" i="2"/>
  <c r="BC79" i="2"/>
  <c r="BC78" i="2"/>
  <c r="BC77" i="2"/>
  <c r="BC76" i="2"/>
  <c r="BC75" i="2"/>
  <c r="BC74" i="2"/>
  <c r="BC73" i="2"/>
  <c r="BC72" i="2"/>
  <c r="BC62" i="2"/>
  <c r="BC52" i="2"/>
  <c r="BC42" i="2"/>
  <c r="BC32" i="2"/>
  <c r="BC24" i="2"/>
  <c r="BC16" i="2"/>
  <c r="BC15" i="2"/>
  <c r="BC14" i="2"/>
  <c r="BC13" i="2"/>
  <c r="BC12" i="2"/>
  <c r="BC11" i="2"/>
  <c r="BC10" i="2"/>
  <c r="BC9" i="2"/>
  <c r="BC8" i="2"/>
  <c r="BC46" i="1"/>
  <c r="BC36" i="1"/>
  <c r="BC26" i="1"/>
  <c r="BC18" i="1"/>
  <c r="BC10" i="1"/>
  <c r="BC9" i="1"/>
  <c r="BC8" i="1"/>
  <c r="BC7" i="1"/>
  <c r="BC6" i="1"/>
  <c r="BC5" i="1"/>
  <c r="BC4" i="1"/>
  <c r="BC3" i="1"/>
  <c r="BC2" i="1"/>
  <c r="BC4" i="3" l="1"/>
  <c r="BC1" i="3" s="1"/>
  <c r="BC5" i="3"/>
  <c r="BC4" i="2"/>
  <c r="BC1" i="2" s="1"/>
  <c r="BC5" i="2"/>
  <c r="BC6" i="2" s="1"/>
  <c r="BC7" i="2" s="1"/>
  <c r="BF121" i="3"/>
  <c r="BD104" i="3"/>
  <c r="BF104" i="3"/>
  <c r="BD85" i="3"/>
  <c r="BE85" i="3"/>
  <c r="BF85" i="3"/>
  <c r="BF127" i="3"/>
  <c r="BE127" i="3"/>
  <c r="BD127" i="3"/>
  <c r="BF126" i="3"/>
  <c r="BE126" i="3"/>
  <c r="BD126" i="3"/>
  <c r="BF125" i="3"/>
  <c r="BE125" i="3"/>
  <c r="BD125" i="3"/>
  <c r="BF124" i="3"/>
  <c r="BE124" i="3"/>
  <c r="BD124" i="3"/>
  <c r="BF123" i="3"/>
  <c r="BE123" i="3"/>
  <c r="BD123" i="3"/>
  <c r="BF122" i="3"/>
  <c r="BE122" i="3"/>
  <c r="BD122" i="3"/>
  <c r="BE121" i="3"/>
  <c r="BD121" i="3"/>
  <c r="BE120" i="3"/>
  <c r="BF120" i="3"/>
  <c r="BD120" i="3"/>
  <c r="BF119" i="3"/>
  <c r="BE119" i="3"/>
  <c r="BD119" i="3"/>
  <c r="BF118" i="3"/>
  <c r="BE118" i="3"/>
  <c r="BD118" i="3"/>
  <c r="BF117" i="3"/>
  <c r="BD117" i="3"/>
  <c r="BE117" i="3"/>
  <c r="BD116" i="3"/>
  <c r="BF116" i="3"/>
  <c r="BE116" i="3"/>
  <c r="BF115" i="3"/>
  <c r="BD115" i="3"/>
  <c r="BE115" i="3"/>
  <c r="BF114" i="3"/>
  <c r="BE114" i="3"/>
  <c r="BD114" i="3"/>
  <c r="BE113" i="3"/>
  <c r="BD113" i="3"/>
  <c r="BF113" i="3"/>
  <c r="BE112" i="3"/>
  <c r="BF112" i="3"/>
  <c r="BD112" i="3"/>
  <c r="BF111" i="3"/>
  <c r="BD111" i="3"/>
  <c r="BE111" i="3"/>
  <c r="BF110" i="3"/>
  <c r="BE110" i="3"/>
  <c r="BD110" i="3"/>
  <c r="BF109" i="3"/>
  <c r="BD109" i="3"/>
  <c r="BE109" i="3"/>
  <c r="BE108" i="3"/>
  <c r="BD108" i="3"/>
  <c r="BF108" i="3"/>
  <c r="BE107" i="3"/>
  <c r="BD107" i="3"/>
  <c r="BF107" i="3"/>
  <c r="BD106" i="3"/>
  <c r="BF106" i="3"/>
  <c r="BE106" i="3"/>
  <c r="BD105" i="3"/>
  <c r="BE105" i="3"/>
  <c r="BF105" i="3"/>
  <c r="BE104" i="3"/>
  <c r="BD103" i="3"/>
  <c r="BF103" i="3"/>
  <c r="BE103" i="3"/>
  <c r="BF102" i="3"/>
  <c r="BD102" i="3"/>
  <c r="BE102" i="3"/>
  <c r="BF101" i="3"/>
  <c r="BD101" i="3"/>
  <c r="BE101" i="3"/>
  <c r="BF100" i="3"/>
  <c r="BD100" i="3"/>
  <c r="BE100" i="3"/>
  <c r="BE99" i="3"/>
  <c r="BF99" i="3"/>
  <c r="BD99" i="3"/>
  <c r="BD98" i="3"/>
  <c r="BF98" i="3"/>
  <c r="BE98" i="3"/>
  <c r="BF97" i="3"/>
  <c r="BD97" i="3"/>
  <c r="BE97" i="3"/>
  <c r="BF96" i="3"/>
  <c r="BD96" i="3"/>
  <c r="BE96" i="3"/>
  <c r="BF95" i="3"/>
  <c r="BD95" i="3"/>
  <c r="BE95" i="3"/>
  <c r="BE94" i="3"/>
  <c r="BF94" i="3"/>
  <c r="BD94" i="3"/>
  <c r="BD93" i="3"/>
  <c r="BF93" i="3"/>
  <c r="BE93" i="3"/>
  <c r="BD92" i="3"/>
  <c r="BF92" i="3"/>
  <c r="BE92" i="3"/>
  <c r="BF91" i="3"/>
  <c r="BD91" i="3"/>
  <c r="BE91" i="3"/>
  <c r="BE90" i="3"/>
  <c r="BF90" i="3"/>
  <c r="BD90" i="3"/>
  <c r="BD89" i="3"/>
  <c r="BF89" i="3"/>
  <c r="BE89" i="3"/>
  <c r="BF88" i="3"/>
  <c r="BD88" i="3"/>
  <c r="BE88" i="3"/>
  <c r="BF87" i="3"/>
  <c r="BD87" i="3"/>
  <c r="BE87" i="3"/>
  <c r="BD86" i="3"/>
  <c r="BF86" i="3"/>
  <c r="BE86" i="3"/>
  <c r="BD84" i="3"/>
  <c r="BF84" i="3"/>
  <c r="BE84" i="3"/>
  <c r="BD83" i="3"/>
  <c r="BF83" i="3"/>
  <c r="BE83" i="3"/>
  <c r="BF82" i="3"/>
  <c r="BD82" i="3"/>
  <c r="BE82" i="3"/>
  <c r="BF81" i="3"/>
  <c r="BD81" i="3"/>
  <c r="BE81" i="3"/>
  <c r="BD80" i="3"/>
  <c r="BF80" i="3"/>
  <c r="BE80" i="3"/>
  <c r="BE79" i="3"/>
  <c r="BF79" i="3"/>
  <c r="BD79" i="3"/>
  <c r="BF78" i="3"/>
  <c r="BD78" i="3"/>
  <c r="BE78" i="3"/>
  <c r="BF77" i="3"/>
  <c r="BD77" i="3"/>
  <c r="BE77" i="3"/>
  <c r="BD76" i="3"/>
  <c r="BF76" i="3"/>
  <c r="BE76" i="3"/>
  <c r="BD75" i="3"/>
  <c r="BF75" i="3"/>
  <c r="BE75" i="3"/>
  <c r="BD74" i="3"/>
  <c r="BE74" i="3"/>
  <c r="BF74" i="3"/>
  <c r="BF73" i="3"/>
  <c r="BD73" i="3"/>
  <c r="BE73" i="3"/>
  <c r="BF72" i="3"/>
  <c r="BD72" i="3"/>
  <c r="BE72" i="3"/>
  <c r="BE62" i="3"/>
  <c r="BD62" i="3"/>
  <c r="BF62" i="3"/>
  <c r="BD52" i="3"/>
  <c r="BF52" i="3"/>
  <c r="BE52" i="3"/>
  <c r="BE42" i="3"/>
  <c r="BD42" i="3"/>
  <c r="BF42" i="3"/>
  <c r="BE32" i="3"/>
  <c r="BD32" i="3"/>
  <c r="BF32" i="3"/>
  <c r="BF24" i="3"/>
  <c r="BE24" i="3"/>
  <c r="BD24" i="3"/>
  <c r="BF16" i="3"/>
  <c r="BD16" i="3"/>
  <c r="BE16" i="3"/>
  <c r="BF15" i="3"/>
  <c r="BE15" i="3"/>
  <c r="BD15" i="3"/>
  <c r="BE14" i="3"/>
  <c r="BD14" i="3"/>
  <c r="BF14" i="3"/>
  <c r="BF13" i="3"/>
  <c r="BE13" i="3"/>
  <c r="BD13" i="3"/>
  <c r="BD12" i="3"/>
  <c r="BF12" i="3"/>
  <c r="BE12" i="3"/>
  <c r="BF11" i="3"/>
  <c r="BE11" i="3"/>
  <c r="BD11" i="3"/>
  <c r="BD10" i="3"/>
  <c r="BE10" i="3"/>
  <c r="BF10" i="3"/>
  <c r="BF9" i="3"/>
  <c r="BE9" i="3"/>
  <c r="BD9" i="3"/>
  <c r="BF8" i="3"/>
  <c r="BF2" i="3" s="1"/>
  <c r="BE8" i="3"/>
  <c r="BD8" i="3"/>
  <c r="BF80" i="2"/>
  <c r="BE80" i="2"/>
  <c r="BD80" i="2"/>
  <c r="BF79" i="2"/>
  <c r="BE79" i="2"/>
  <c r="BD79" i="2"/>
  <c r="BF78" i="2"/>
  <c r="BE78" i="2"/>
  <c r="BD78" i="2"/>
  <c r="BF77" i="2"/>
  <c r="BE77" i="2"/>
  <c r="BD77" i="2"/>
  <c r="BF76" i="2"/>
  <c r="BE76" i="2"/>
  <c r="BD76" i="2"/>
  <c r="BF75" i="2"/>
  <c r="BE75" i="2"/>
  <c r="BD75" i="2"/>
  <c r="BF74" i="2"/>
  <c r="BE74" i="2"/>
  <c r="BD74" i="2"/>
  <c r="BF73" i="2"/>
  <c r="BE73" i="2"/>
  <c r="BD73" i="2"/>
  <c r="BF72" i="2"/>
  <c r="BE72" i="2"/>
  <c r="BD72" i="2"/>
  <c r="BF62" i="2"/>
  <c r="BE62" i="2"/>
  <c r="BD62" i="2"/>
  <c r="BF52" i="2"/>
  <c r="BE52" i="2"/>
  <c r="BD52" i="2"/>
  <c r="BF42" i="2"/>
  <c r="BE42" i="2"/>
  <c r="BD42" i="2"/>
  <c r="BF32" i="2"/>
  <c r="BE32" i="2"/>
  <c r="BD32" i="2"/>
  <c r="BF24" i="2"/>
  <c r="BE24" i="2"/>
  <c r="BD24" i="2"/>
  <c r="BF16" i="2"/>
  <c r="BE16" i="2"/>
  <c r="BD16" i="2"/>
  <c r="BF15" i="2"/>
  <c r="BE15" i="2"/>
  <c r="BD15" i="2"/>
  <c r="BF14" i="2"/>
  <c r="BE14" i="2"/>
  <c r="BD14" i="2"/>
  <c r="BF13" i="2"/>
  <c r="BE13" i="2"/>
  <c r="BD13" i="2"/>
  <c r="BF12" i="2"/>
  <c r="BE12" i="2"/>
  <c r="BD12" i="2"/>
  <c r="BF11" i="2"/>
  <c r="BE11" i="2"/>
  <c r="BD11" i="2"/>
  <c r="BF10" i="2"/>
  <c r="BE10" i="2"/>
  <c r="BD10" i="2"/>
  <c r="BF9" i="2"/>
  <c r="BE9" i="2"/>
  <c r="BD9" i="2"/>
  <c r="BF8" i="2"/>
  <c r="BF2" i="2" s="1"/>
  <c r="BE8" i="2"/>
  <c r="BD8" i="2"/>
  <c r="BC1" i="1"/>
  <c r="BF46" i="1"/>
  <c r="BE46" i="1"/>
  <c r="BD46" i="1"/>
  <c r="BF36" i="1"/>
  <c r="BE36" i="1"/>
  <c r="BD36" i="1"/>
  <c r="BE26" i="1"/>
  <c r="BD26" i="1"/>
  <c r="BF26" i="1"/>
  <c r="BE18" i="1"/>
  <c r="BF18" i="1"/>
  <c r="BD18" i="1"/>
  <c r="BF10" i="1"/>
  <c r="BE10" i="1"/>
  <c r="BD10" i="1"/>
  <c r="BF9" i="1"/>
  <c r="BD9" i="1"/>
  <c r="BE9" i="1"/>
  <c r="BF8" i="1"/>
  <c r="BE8" i="1"/>
  <c r="BD8" i="1"/>
  <c r="BF7" i="1"/>
  <c r="BE7" i="1"/>
  <c r="BD7" i="1"/>
  <c r="BF6" i="1"/>
  <c r="BE6" i="1"/>
  <c r="BD6" i="1"/>
  <c r="BD5" i="1"/>
  <c r="BE5" i="1"/>
  <c r="BF5" i="1"/>
  <c r="BD4" i="1"/>
  <c r="BE4" i="1"/>
  <c r="BF4" i="1"/>
  <c r="BD3" i="1"/>
  <c r="BE3" i="1"/>
  <c r="BF3" i="1"/>
  <c r="BD2" i="1"/>
  <c r="BE2" i="1"/>
  <c r="BF2" i="1"/>
  <c r="R6" i="3" l="1"/>
  <c r="R7" i="3" s="1"/>
  <c r="P6" i="3"/>
  <c r="P7" i="3" s="1"/>
  <c r="N6" i="3"/>
  <c r="N7" i="3" s="1"/>
  <c r="L6" i="3"/>
  <c r="L7" i="3" s="1"/>
  <c r="BC6" i="3"/>
  <c r="BC7" i="3" s="1"/>
  <c r="Q6" i="3"/>
  <c r="Q7" i="3" s="1"/>
  <c r="O6" i="3"/>
  <c r="O7" i="3" s="1"/>
  <c r="M6" i="3"/>
  <c r="M7" i="3" s="1"/>
  <c r="K6" i="3"/>
  <c r="K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MVLaude</author>
  </authors>
  <commentList>
    <comment ref="H3" authorId="0" shapeId="0" xr:uid="{9CC2D49B-7632-40A2-87BE-31ED004F44F7}">
      <text>
        <r>
          <rPr>
            <b/>
            <sz val="9"/>
            <color indexed="81"/>
            <rFont val="Tahoma"/>
            <family val="2"/>
          </rPr>
          <t>MVLaude:</t>
        </r>
        <r>
          <rPr>
            <sz val="9"/>
            <color indexed="81"/>
            <rFont val="Tahoma"/>
            <family val="2"/>
          </rPr>
          <t xml:space="preserve">
plant 2</t>
        </r>
      </text>
    </comment>
    <comment ref="P3" authorId="0" shapeId="0" xr:uid="{E921780D-19B6-4E3C-84C8-FDB7533FE32D}">
      <text>
        <r>
          <rPr>
            <b/>
            <sz val="9"/>
            <color indexed="81"/>
            <rFont val="Tahoma"/>
            <family val="2"/>
          </rPr>
          <t>MVLaude:</t>
        </r>
        <r>
          <rPr>
            <sz val="9"/>
            <color indexed="81"/>
            <rFont val="Tahoma"/>
            <family val="2"/>
          </rPr>
          <t xml:space="preserve">
top coat
all types of wood 393
cedar ladle
dragon fire pails
Please inform WH (murro/sir adonis) schedule
</t>
        </r>
        <r>
          <rPr>
            <b/>
            <sz val="9"/>
            <color indexed="81"/>
            <rFont val="Tahoma"/>
            <family val="2"/>
          </rPr>
          <t>3-4 weeks before target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MVLaude</author>
  </authors>
  <commentList>
    <comment ref="H3" authorId="0" shapeId="0" xr:uid="{87BDB834-8707-4EBC-B760-C51067F3A86A}">
      <text>
        <r>
          <rPr>
            <b/>
            <sz val="9"/>
            <color indexed="81"/>
            <rFont val="Tahoma"/>
            <family val="2"/>
          </rPr>
          <t>MVLaude:</t>
        </r>
        <r>
          <rPr>
            <sz val="9"/>
            <color indexed="81"/>
            <rFont val="Tahoma"/>
            <family val="2"/>
          </rPr>
          <t xml:space="preserve">
plant 2</t>
        </r>
      </text>
    </comment>
    <comment ref="P3" authorId="0" shapeId="0" xr:uid="{E03AB1EF-BCCE-405B-A3FE-DFC6D27FC847}">
      <text>
        <r>
          <rPr>
            <b/>
            <sz val="9"/>
            <color indexed="81"/>
            <rFont val="Tahoma"/>
            <family val="2"/>
          </rPr>
          <t>MVLaude:</t>
        </r>
        <r>
          <rPr>
            <sz val="9"/>
            <color indexed="81"/>
            <rFont val="Tahoma"/>
            <family val="2"/>
          </rPr>
          <t xml:space="preserve">
top coat
all types of wood 393
cedar ladle
dragon fire pails
Please inform WH (murro/sir adonis) schedule
</t>
        </r>
        <r>
          <rPr>
            <b/>
            <sz val="9"/>
            <color indexed="81"/>
            <rFont val="Tahoma"/>
            <family val="2"/>
          </rPr>
          <t>3-4 weeks before target</t>
        </r>
      </text>
    </comment>
  </commentList>
</comments>
</file>

<file path=xl/sharedStrings.xml><?xml version="1.0" encoding="utf-8"?>
<sst xmlns="http://schemas.openxmlformats.org/spreadsheetml/2006/main" count="2830" uniqueCount="691">
  <si>
    <t>Customer Code:</t>
  </si>
  <si>
    <t>PALLET</t>
  </si>
  <si>
    <t>Destination:</t>
  </si>
  <si>
    <t xml:space="preserve">CANADA BSAUNAS </t>
  </si>
  <si>
    <t>PPIC Remarks</t>
  </si>
  <si>
    <t>Total</t>
  </si>
  <si>
    <t>REMARKS</t>
  </si>
  <si>
    <t>Bal</t>
  </si>
  <si>
    <t>CBM</t>
  </si>
  <si>
    <t>393-D</t>
  </si>
  <si>
    <t>Pail Shower 18L, Cedar</t>
  </si>
  <si>
    <t>568-D</t>
  </si>
  <si>
    <t>Wooden Handle Standard 290x45mm, Cedar</t>
  </si>
  <si>
    <t>561-D-US</t>
  </si>
  <si>
    <t>Wooden Handle US, Cedar</t>
  </si>
  <si>
    <t>346-BL</t>
  </si>
  <si>
    <t>Wooden Pail Lovi 4L, Black</t>
  </si>
  <si>
    <t>620-D</t>
  </si>
  <si>
    <t>Wooden Ventilation Louver Square 215x170mm, Cedar</t>
  </si>
  <si>
    <t>622-D</t>
  </si>
  <si>
    <t>Sauna Grille, Cedar</t>
  </si>
  <si>
    <t>621-D-US</t>
  </si>
  <si>
    <t xml:space="preserve">Sauna Air Ventilation Louver Cedar US </t>
  </si>
  <si>
    <t>638-D</t>
  </si>
  <si>
    <t>Wooden Ventilation Louver Circle w/ Metallic Black (Ø)145mm, Cedar</t>
  </si>
  <si>
    <t>638-BL</t>
  </si>
  <si>
    <t>Wooden Ventilation Louver Circle w/ Metallic Black (Ø)145mm, Black</t>
  </si>
  <si>
    <t>241-TFHD</t>
  </si>
  <si>
    <t>Thermo °F-Hygrometer Octagon 175x175mm, Cedar</t>
  </si>
  <si>
    <t>341-D</t>
  </si>
  <si>
    <t>Wooden Pail Rattan 4L, Cedar</t>
  </si>
  <si>
    <t>551-D</t>
  </si>
  <si>
    <t>Wooden Sandtimer Classic 65×340mm, Cedar</t>
  </si>
  <si>
    <t>553-BL</t>
  </si>
  <si>
    <t>Wooden Sandtimer 67x340mm, Black</t>
  </si>
  <si>
    <t>514-D</t>
  </si>
  <si>
    <t>Wooden Backrest Spinal 346×888mm, Cedar</t>
  </si>
  <si>
    <t>559-D</t>
  </si>
  <si>
    <t>Wooden Handle Straight 36x900mm, Cedar</t>
  </si>
  <si>
    <t>558-D</t>
  </si>
  <si>
    <t>Wooden Handle Arc 40x900mm, Cedar</t>
  </si>
  <si>
    <t>511-D</t>
  </si>
  <si>
    <t>Wooden Pillow Rounded Curve 370x295mm, Cedar</t>
  </si>
  <si>
    <t>457-D</t>
  </si>
  <si>
    <t>Wooden Ladle (68cm) Cedar</t>
  </si>
  <si>
    <t>443-D</t>
  </si>
  <si>
    <t>Wooden Ladle Standard 52cm, Cedar</t>
  </si>
  <si>
    <t>445-MD</t>
  </si>
  <si>
    <t>Stainless Steel Ladle Siro 46.5cm, Cedar</t>
  </si>
  <si>
    <t>446-MD</t>
  </si>
  <si>
    <t>Stainless Steel Ladle Siro 70.5cm, Cedar</t>
  </si>
  <si>
    <t>340-D</t>
  </si>
  <si>
    <t>Wooden Pail 4L, Cedar</t>
  </si>
  <si>
    <t>346-H</t>
  </si>
  <si>
    <t>Wooden Pail Lovi 4L, Hemlock</t>
  </si>
  <si>
    <t>371-MD</t>
  </si>
  <si>
    <t>Wooden Pail Rattan with Stainless Insert 5L, Cedar</t>
  </si>
  <si>
    <t>300-HD</t>
  </si>
  <si>
    <t>Wooden Pail Rattan 9L, Cedar</t>
  </si>
  <si>
    <t>381-D</t>
  </si>
  <si>
    <t>Wooden Pail 18L, Cedar</t>
  </si>
  <si>
    <t>SET-SIG-D</t>
  </si>
  <si>
    <t>Accessory Set Signature, Cedar</t>
  </si>
  <si>
    <t>175-TFD</t>
  </si>
  <si>
    <t>Thermometer °F Rattan Pail Ø230xH40mm, Cedar</t>
  </si>
  <si>
    <t>220-TFD</t>
  </si>
  <si>
    <t>Thermometer °F Cut Corner Square 136x136mm, Cedar</t>
  </si>
  <si>
    <t>221-TFHD</t>
  </si>
  <si>
    <t>Thermo °F-Hygrometer Cut Corner Rectangle 240x130mm, Cedar</t>
  </si>
  <si>
    <t>224-TFHD</t>
  </si>
  <si>
    <t>Thermo °F-Hygrometer Rectangle 255x140mm, Cedar</t>
  </si>
  <si>
    <t>271-TFHBD</t>
  </si>
  <si>
    <t>Thermo °F-Hygrometer Basic Curved Rectangle 240x125mm, Cedar</t>
  </si>
  <si>
    <t>516-D</t>
  </si>
  <si>
    <t>Wooden Backrest Curve 396×515mm, Cedar</t>
  </si>
  <si>
    <t>917-D</t>
  </si>
  <si>
    <t>Wooden Light Cover Curved Stripes 169x264mm, Cedar</t>
  </si>
  <si>
    <t>914-VD</t>
  </si>
  <si>
    <t>Wooden Light Cover Stripes 181x320mm, Cedar</t>
  </si>
  <si>
    <t>915-VD</t>
  </si>
  <si>
    <t>Wooden Light Cover Rods, Cedar</t>
  </si>
  <si>
    <t>586-D</t>
  </si>
  <si>
    <t>Wooden Hook Rack (4 Hooks) 340x42mm, Cedar</t>
  </si>
  <si>
    <t>583-D</t>
  </si>
  <si>
    <t>Wooden Hook Rack (5 Hooks) 440x42mm, Cedar</t>
  </si>
  <si>
    <t>640-MBR</t>
  </si>
  <si>
    <t>Air Ventilation Cover Circular (Ø)160mm, Metallic Brown</t>
  </si>
  <si>
    <t>641-D</t>
  </si>
  <si>
    <t>Wooden Ventilation Cover Circular (Ø)160mm, Cedar</t>
  </si>
  <si>
    <t>640-SET</t>
  </si>
  <si>
    <t>Air Ventilation Cover Circular Set, Metallic Brown &amp; Cedar (Ø)160</t>
  </si>
  <si>
    <t>225-THBL</t>
  </si>
  <si>
    <t>Thermo-Hygrometer Square 180×180mm, Black</t>
  </si>
  <si>
    <t>595-D-BC</t>
  </si>
  <si>
    <t>Wooden Floor Mat Block 22mm, Cedar</t>
  </si>
  <si>
    <t>ARO-FFRESH500</t>
  </si>
  <si>
    <t>Forest Fresh Scent 500ML</t>
  </si>
  <si>
    <t>ARO-EUCA500</t>
  </si>
  <si>
    <t>Eucalyptus Scent 500ML</t>
  </si>
  <si>
    <t>S08477-GEORGIA(60300)
Quality pass:BQU 
SAWO Logo
Completion Date: 9/25</t>
  </si>
  <si>
    <t>GEORGIA</t>
  </si>
  <si>
    <t>SET-ESS-D</t>
  </si>
  <si>
    <t>Accessory Set Essential, Cedar</t>
  </si>
  <si>
    <t>SET-SIG-BL</t>
  </si>
  <si>
    <t>Accessory Set Signature, Black</t>
  </si>
  <si>
    <t>295-TMBL</t>
  </si>
  <si>
    <t>Thermometer Black Metal 110×110mm, Black</t>
  </si>
  <si>
    <t>221-THD</t>
  </si>
  <si>
    <t>Thermo-Hygrometer Cut Corner Rectangle 240×130mm, Cedar</t>
  </si>
  <si>
    <t>221-THA</t>
  </si>
  <si>
    <t>Thermo-Hygrometer Cut Corner Rectangle 240×130mm, Aspen</t>
  </si>
  <si>
    <t>221-THH</t>
  </si>
  <si>
    <t>Thermo-Hygrometer Cut Corner Rectangle 240×130mm, Hemlock</t>
  </si>
  <si>
    <t>222-THD</t>
  </si>
  <si>
    <t>Thermo-Hygrometer Rounded Rectangle 252×136mm, Cedar</t>
  </si>
  <si>
    <t>222-THA</t>
  </si>
  <si>
    <t>Thermo-Hygrometer Rounded Rectangle 252×136mm, Aspen</t>
  </si>
  <si>
    <t>222-THH</t>
  </si>
  <si>
    <t>Thermo-Hygrometer Rounded Rectangle 252×136mm,  Hemlock</t>
  </si>
  <si>
    <t>554-D</t>
  </si>
  <si>
    <t>Wooden Sandtimer Kanto 65×340mm, Cedar</t>
  </si>
  <si>
    <t>554-A</t>
  </si>
  <si>
    <t>Wooden Sandtimer Kanto 65×340mm, Aspen</t>
  </si>
  <si>
    <t>554-BL</t>
  </si>
  <si>
    <t>Wooden Sandtimer Kanto 65x340mm, Black</t>
  </si>
  <si>
    <t>553-D</t>
  </si>
  <si>
    <t>Wooden Sandtimer 67×340mm, Cedar</t>
  </si>
  <si>
    <t>553-A</t>
  </si>
  <si>
    <t>Wooden Sandtimer 67x340mm, Aspen</t>
  </si>
  <si>
    <t>553-H</t>
  </si>
  <si>
    <t>Wooden Sandtimer 67x340mm, Hemlock</t>
  </si>
  <si>
    <t>347-D</t>
  </si>
  <si>
    <t>Wooden Pail Kanto 4L, Cedar</t>
  </si>
  <si>
    <t>375-MH</t>
  </si>
  <si>
    <t>Stainless Pail with Wooden Handle 5L, Hemlock</t>
  </si>
  <si>
    <t>371-MA</t>
  </si>
  <si>
    <t>Wooden Pail Rattan with Stainless Insert 5L, Aspen</t>
  </si>
  <si>
    <t>340-A</t>
  </si>
  <si>
    <t>Wooden Pail 4L, Aspen</t>
  </si>
  <si>
    <t>340-H</t>
  </si>
  <si>
    <t>Wooden Pail 4L, Hemlock</t>
  </si>
  <si>
    <t>300-TD</t>
  </si>
  <si>
    <t>Wooden Pail 9L, Cedar</t>
  </si>
  <si>
    <t>300-TA</t>
  </si>
  <si>
    <t>Wooden Pail 9L, Aspen</t>
  </si>
  <si>
    <t>300-TH</t>
  </si>
  <si>
    <t>Wooden Pail 9L, Hemlock</t>
  </si>
  <si>
    <t>381-A</t>
  </si>
  <si>
    <t>Wooden Pail 18L, Aspen</t>
  </si>
  <si>
    <t>393-H</t>
  </si>
  <si>
    <t>Pail Shower 18L, Hemlock</t>
  </si>
  <si>
    <t>393-BL</t>
  </si>
  <si>
    <t>Pail Shower 18L, Black</t>
  </si>
  <si>
    <t>459-D</t>
  </si>
  <si>
    <t>Wooden Ladle Puro 51cm, Cedar</t>
  </si>
  <si>
    <t>459-H</t>
  </si>
  <si>
    <t>Wooden Ladle Puro 51cm, Hemlock</t>
  </si>
  <si>
    <t>460-D</t>
  </si>
  <si>
    <t>Wooden Ladle Puro 67cm, Cedar</t>
  </si>
  <si>
    <t>460-H</t>
  </si>
  <si>
    <t>Wooden Ladle Puro 67cm, Hemlock</t>
  </si>
  <si>
    <t>461-H</t>
  </si>
  <si>
    <t>Wooden Ladle Puro 81cm, Hemlock</t>
  </si>
  <si>
    <t>440-D</t>
  </si>
  <si>
    <t>Wooden Ladle Standard 42cm, Cedar</t>
  </si>
  <si>
    <t>440-A</t>
  </si>
  <si>
    <t>Wooden Ladle Standard 42cm, Aspen</t>
  </si>
  <si>
    <t>440-H</t>
  </si>
  <si>
    <t>Wooden Ladle Standard 42cm, Hemlock</t>
  </si>
  <si>
    <t>440-BL</t>
  </si>
  <si>
    <t>Wooden Ladle Standard 42cm, Black</t>
  </si>
  <si>
    <t>443-A</t>
  </si>
  <si>
    <t>Wooden Ladle Standard 52cm, Aspen</t>
  </si>
  <si>
    <t>443-H</t>
  </si>
  <si>
    <t>Wooden Ladle Standard 52cm, Hemlock</t>
  </si>
  <si>
    <t>444-D</t>
  </si>
  <si>
    <t>Wooden Ladle Standard 68cm, Cedar</t>
  </si>
  <si>
    <t>444-A</t>
  </si>
  <si>
    <t>Wooden Ladle Standard 68cm, Aspen</t>
  </si>
  <si>
    <t>444-H</t>
  </si>
  <si>
    <t>Wooden Ladle Standard 68cm, Hemlock</t>
  </si>
  <si>
    <t>441-MD</t>
  </si>
  <si>
    <t>Stainless Steel Ladle Small Cup 41cm, Cedar</t>
  </si>
  <si>
    <t>441-MA</t>
  </si>
  <si>
    <t>Stainless Steel Ladle Small Cup 41cm, Aspen</t>
  </si>
  <si>
    <t>441-MH</t>
  </si>
  <si>
    <t>Stainless Steel Ladle Small Cup 41cm,  Hemlock</t>
  </si>
  <si>
    <t>453-MA</t>
  </si>
  <si>
    <t>Stainless Ladle Curve Handle 45.5cm, Aspen</t>
  </si>
  <si>
    <t>515-D</t>
  </si>
  <si>
    <t>Wooden Pillow Wave 275x295mm, Cedar</t>
  </si>
  <si>
    <t>515-A</t>
  </si>
  <si>
    <t>Wooden Pillow Wave 275x295mm, Aspen</t>
  </si>
  <si>
    <t>512-D</t>
  </si>
  <si>
    <t>Wooden Pillow HaLu 180x230mm, Cedar</t>
  </si>
  <si>
    <t>512-A</t>
  </si>
  <si>
    <t>Wooden Pillow HaLu 180x230mm, Aspen</t>
  </si>
  <si>
    <t>631-D</t>
  </si>
  <si>
    <t>Wooden Ventilation Louver Circle w/ Metal (Ø)145mm, Cedar</t>
  </si>
  <si>
    <t>631-A</t>
  </si>
  <si>
    <t>Wooden Ventilation Louver Circle w/ Metal (Ø)145mm, Aspen</t>
  </si>
  <si>
    <t>631-H</t>
  </si>
  <si>
    <t>Wooden Ventilation Louver Circle w/ Metal (Ø)145mm, Hemlock</t>
  </si>
  <si>
    <t>620-A</t>
  </si>
  <si>
    <t>Wooden Ventilation Louver Square 215x170mm, Aspen</t>
  </si>
  <si>
    <t>620-H</t>
  </si>
  <si>
    <t>Wooden Ventilation Louver Square 215x170mm, Hemlock</t>
  </si>
  <si>
    <t>568-A</t>
  </si>
  <si>
    <t>Wooden Handle Standard 290x45mm, Aspen</t>
  </si>
  <si>
    <t>568-H</t>
  </si>
  <si>
    <t>Wooden Handle Standard 290x45mm, Hemlock</t>
  </si>
  <si>
    <t>924-D-SET</t>
  </si>
  <si>
    <t>Wooden Curve Light 364mm Set, Cedar</t>
  </si>
  <si>
    <t>925-D-SET</t>
  </si>
  <si>
    <t>Wooden Curve Light 614mm Set, Cedar</t>
  </si>
  <si>
    <t>914-VH</t>
  </si>
  <si>
    <t>Wooden Light Cover Stripes 181x320mm, Hemlock</t>
  </si>
  <si>
    <t>914-VA</t>
  </si>
  <si>
    <t>Wooden Light Cover Stripes 181x320mm, Aspen</t>
  </si>
  <si>
    <t>917-H</t>
  </si>
  <si>
    <t>Wooden Light Cover Curved Stripes 169x264mm, Hemlock</t>
  </si>
  <si>
    <t xml:space="preserve">8/27 from 50  to 37pcs </t>
  </si>
  <si>
    <t>917-A</t>
  </si>
  <si>
    <t>Wooden Light Cover Curved Stripes 169x264mm, Aspen</t>
  </si>
  <si>
    <t>8/27  from 40 to 110pcs</t>
  </si>
  <si>
    <t>8/27  from  50 to 37pcs</t>
  </si>
  <si>
    <t>LP15-001-EU</t>
  </si>
  <si>
    <t>Transformer / Plug (EU)</t>
  </si>
  <si>
    <t>8/27  from 50 to 37pcs</t>
  </si>
  <si>
    <t>ARI-GUARD-W3-H</t>
  </si>
  <si>
    <t>Wooden Heater Guard for ARI3, Hemlock</t>
  </si>
  <si>
    <t>CUB-GUARD-W3-H</t>
  </si>
  <si>
    <t>Wooden Heater Guard for CUB3, Hemlock</t>
  </si>
  <si>
    <t xml:space="preserve">8/4 from 222-THD to 222-TFHD  Add 25 pcs </t>
  </si>
  <si>
    <t xml:space="preserve">8/27  from 30 to 34pcs </t>
  </si>
  <si>
    <t>8/27  from 55 to 67pcs</t>
  </si>
  <si>
    <t xml:space="preserve">8/27  from 45 to 73pcs </t>
  </si>
  <si>
    <t>8/27  from 70 to 125pcs</t>
  </si>
  <si>
    <t>9/1 from 145 to 204</t>
  </si>
  <si>
    <t>8/27  from 35 to 58pcs</t>
  </si>
  <si>
    <t>8/27 from 50 to  92pcs</t>
  </si>
  <si>
    <t>8/27  from 80 to 108pcs</t>
  </si>
  <si>
    <t>8/27  from 125  to 214pcs</t>
  </si>
  <si>
    <t>8/27  from 8to 143pcs</t>
  </si>
  <si>
    <t>8/27  from 55 to 57pcs</t>
  </si>
  <si>
    <t xml:space="preserve"> 8/27 from 30 to 35pcs</t>
  </si>
  <si>
    <t>8/27  from 35 to 40pcs</t>
  </si>
  <si>
    <t xml:space="preserve">8/27  from 15 to 18pcs </t>
  </si>
  <si>
    <t xml:space="preserve">8/27  from 10 to 15pcs </t>
  </si>
  <si>
    <t>8/27  from 10 to 12pcs</t>
  </si>
  <si>
    <t>8/4 from 222-THA to 222-TFHA Add 18pcs</t>
  </si>
  <si>
    <t>8/27  from 40 to 87pcs</t>
  </si>
  <si>
    <t xml:space="preserve">8/27   from 10 to 25pcs </t>
  </si>
  <si>
    <t>8/27  from 5 to 8pcs</t>
  </si>
  <si>
    <t xml:space="preserve">8/27 from 5 to 20pcs </t>
  </si>
  <si>
    <t>Add 8/17</t>
  </si>
  <si>
    <t xml:space="preserve">Add 8/27 </t>
  </si>
  <si>
    <t>Add 9/1</t>
  </si>
  <si>
    <t>S08217-USA sauna place(19200)
Quality pass: ZFU
selected items with SAUNA PLACE Logo
Completion Date: 9/23</t>
  </si>
  <si>
    <t>Shipment Schedule</t>
  </si>
  <si>
    <t>USA sauna place</t>
  </si>
  <si>
    <t>PO Ref</t>
  </si>
  <si>
    <t xml:space="preserve"> Product Code</t>
  </si>
  <si>
    <t>PRIO</t>
  </si>
  <si>
    <t>CBM/PC</t>
  </si>
  <si>
    <t>PAIL</t>
  </si>
  <si>
    <t>PPS</t>
  </si>
  <si>
    <t>MACH</t>
  </si>
  <si>
    <t>P-ASSY</t>
  </si>
  <si>
    <t>SAND</t>
  </si>
  <si>
    <t>LSR</t>
  </si>
  <si>
    <t>PRT'G</t>
  </si>
  <si>
    <t>PLSH</t>
  </si>
  <si>
    <t>ASSY</t>
  </si>
  <si>
    <t>PACK</t>
  </si>
  <si>
    <t xml:space="preserve">LOGO </t>
  </si>
  <si>
    <t>Remarks</t>
  </si>
  <si>
    <t>Mat Prep Remarks</t>
  </si>
  <si>
    <t>MO #:</t>
  </si>
  <si>
    <t>P1</t>
  </si>
  <si>
    <t>P2</t>
  </si>
  <si>
    <t>WIP</t>
  </si>
  <si>
    <t>OUTPUT</t>
  </si>
  <si>
    <t>559-BL</t>
  </si>
  <si>
    <t>Wooden Handle Straight 36x900mm, Black</t>
  </si>
  <si>
    <t>PL1/MO/34442</t>
  </si>
  <si>
    <t>560-BL</t>
  </si>
  <si>
    <t>Wooden Handle Metallic 36x900mm, Black</t>
  </si>
  <si>
    <t>complete delivery 9-1</t>
  </si>
  <si>
    <t>PL1/MO/34443</t>
  </si>
  <si>
    <t xml:space="preserve"> SAUNA PLACE logo</t>
  </si>
  <si>
    <t>get hemlock from storage</t>
  </si>
  <si>
    <t>PL1/MO/34444</t>
  </si>
  <si>
    <t>PL1/MO/35996</t>
  </si>
  <si>
    <t>Complete delivery 8-11-26 = 80</t>
  </si>
  <si>
    <t>PL1/MO/35999</t>
  </si>
  <si>
    <t>460-BL</t>
  </si>
  <si>
    <t>Wooden Ladle Puro 67cm, Black</t>
  </si>
  <si>
    <t>PL1/MO/36000</t>
  </si>
  <si>
    <t>PL1/MO/34448</t>
  </si>
  <si>
    <t>639-BL</t>
  </si>
  <si>
    <t>Wooden Ventilation Louver Circle w/ Metallic Black (Ø)170mm, Black</t>
  </si>
  <si>
    <t>PL1/MO/34449</t>
  </si>
  <si>
    <t>SET-TRAD-D</t>
  </si>
  <si>
    <t>Accessory Set Traditional, Cedar</t>
  </si>
  <si>
    <t>220-TfD</t>
  </si>
  <si>
    <t>Complete delivery 8-19-26 = 70</t>
  </si>
  <si>
    <t>Aro-Euca250</t>
  </si>
  <si>
    <t>NA</t>
  </si>
  <si>
    <t>340-BD</t>
  </si>
  <si>
    <t>430-D</t>
  </si>
  <si>
    <t xml:space="preserve">get from SF </t>
  </si>
  <si>
    <t>955-H</t>
  </si>
  <si>
    <t>950-H</t>
  </si>
  <si>
    <t xml:space="preserve">
</t>
  </si>
  <si>
    <t>R-100</t>
  </si>
  <si>
    <t>delivered handle 8-7 = 80pcs / delivered Sidings 8-8 = 380pcs</t>
  </si>
  <si>
    <t>Complete delivery 8-10-26 = 70</t>
  </si>
  <si>
    <t>Complete delivery 8-21-26 = 80</t>
  </si>
  <si>
    <t xml:space="preserve">
PL1/MO/34452</t>
  </si>
  <si>
    <t>225-TFHD</t>
  </si>
  <si>
    <t>Complete delivery 8-21-26 = 50</t>
  </si>
  <si>
    <t>get patching from P1 stocks</t>
  </si>
  <si>
    <t>Complete delivery 8-10-26 = 40</t>
  </si>
  <si>
    <t>Complete delivery 8-12-26 = 40</t>
  </si>
  <si>
    <t>Delivered sidings 8-8 = 240pcs 8-10 = 280pcs Complete good for 40</t>
  </si>
  <si>
    <t>no bom yet for without laser</t>
  </si>
  <si>
    <t>225-BL</t>
  </si>
  <si>
    <t>459-D-BL</t>
  </si>
  <si>
    <t>515-BL</t>
  </si>
  <si>
    <t>347-BL</t>
  </si>
  <si>
    <t>Complete delivery 8-11-26 = 40</t>
  </si>
  <si>
    <t>SET-DRAGON-D</t>
  </si>
  <si>
    <t>Accessory Set Dragon, Cedar</t>
  </si>
  <si>
    <t>PL1/MO/34454</t>
  </si>
  <si>
    <t>Complete delivery 8-20-26 = 40</t>
  </si>
  <si>
    <t>342-D</t>
  </si>
  <si>
    <t>Delivered 8-20-26 = 314pcs</t>
  </si>
  <si>
    <t>449-D</t>
  </si>
  <si>
    <t>Complete delivery 8-19-26 = 40</t>
  </si>
  <si>
    <t>ARO-EUCA250</t>
  </si>
  <si>
    <t>SET-DRAGON-BL</t>
  </si>
  <si>
    <t>Accessory Set Dragon, Black</t>
  </si>
  <si>
    <t>342-BL</t>
  </si>
  <si>
    <t xml:space="preserve">for slicing </t>
  </si>
  <si>
    <t>449-BL</t>
  </si>
  <si>
    <t>923-H</t>
  </si>
  <si>
    <t>Wooden Curve Light 240mm, Hemlock</t>
  </si>
  <si>
    <t>C/O P1</t>
  </si>
  <si>
    <t>PL1/MO/36002</t>
  </si>
  <si>
    <t>924-H</t>
  </si>
  <si>
    <t>Wooden Curve Light 364mm, Hemlock</t>
  </si>
  <si>
    <t>PL1/MO/34457</t>
  </si>
  <si>
    <t>925-H</t>
  </si>
  <si>
    <t>Wooden Curve Light 614mm, Hemlock</t>
  </si>
  <si>
    <t>for prep</t>
  </si>
  <si>
    <t>LP15-002</t>
  </si>
  <si>
    <t>Three-way Splitter</t>
  </si>
  <si>
    <t>PL1/MO/34459</t>
  </si>
  <si>
    <t>LP15-004-US</t>
  </si>
  <si>
    <t>Transformer / Plug (US)</t>
  </si>
  <si>
    <t>PL1/MO/34460</t>
  </si>
  <si>
    <t>LP15-005</t>
  </si>
  <si>
    <t>Silicon wire (2 meter)</t>
  </si>
  <si>
    <t>PL1/MO/34461</t>
  </si>
  <si>
    <t>LP15-006</t>
  </si>
  <si>
    <t>Silicon wire (4 meter) (HP15-006)</t>
  </si>
  <si>
    <t>PL1/MO/34462</t>
  </si>
  <si>
    <t>partial deliveries</t>
  </si>
  <si>
    <t xml:space="preserve">
PL1/MO/34464</t>
  </si>
  <si>
    <t xml:space="preserve">222-TFHD </t>
  </si>
  <si>
    <t xml:space="preserve"> Thermo °F-Hygrometer Rounded Rectangle 252x136mm, Cedar</t>
  </si>
  <si>
    <t>Complete delivery 8-3-26 = 149pcs 8-7-26 = 16pcs 8-21-26 = 80</t>
  </si>
  <si>
    <t>PL1/MO/34466</t>
  </si>
  <si>
    <t>Complete delivery Sidings 8-3-26 = 800pcs / Delivered 8-20 = 323pcs 8-21 = 630pcs 8-22 = 360 8-25 = 120</t>
  </si>
  <si>
    <t>Complete delivery 8-19-26</t>
  </si>
  <si>
    <t>560-D</t>
  </si>
  <si>
    <t>Wooden Handle Metallic 36x900mm, Cedar</t>
  </si>
  <si>
    <t>waiting for cedar @ KD</t>
  </si>
  <si>
    <t>Thermo-Hygrometer °F Cut Corner Rectangle 225x140mm, Cedar</t>
  </si>
  <si>
    <t>Complete delivery 8-3-26</t>
  </si>
  <si>
    <r>
      <rPr>
        <b/>
        <sz val="11"/>
        <rFont val="Calibri"/>
        <family val="2"/>
        <scheme val="minor"/>
      </rPr>
      <t>Handle 8-1-26 = 160</t>
    </r>
    <r>
      <rPr>
        <sz val="11"/>
        <rFont val="Calibri"/>
        <family val="2"/>
        <scheme val="minor"/>
      </rPr>
      <t xml:space="preserve">  8-20-26 = 146 / Partial delivery sidings 8-3-26 = 1220  8-7-26 = 180</t>
    </r>
  </si>
  <si>
    <t>321-MD</t>
  </si>
  <si>
    <t>Wooden Pail Rattan with Stainless Insert 2L, Cedar</t>
  </si>
  <si>
    <t>Complete delivery 8-25-26</t>
  </si>
  <si>
    <t>get from P1 wood</t>
  </si>
  <si>
    <t>check SF/Buffer</t>
  </si>
  <si>
    <t>550-D</t>
  </si>
  <si>
    <t>Wooden Sandtimer Tag 65x343mm, Cedar</t>
  </si>
  <si>
    <t>Complete delivery 8-20-26</t>
  </si>
  <si>
    <t>for precut</t>
  </si>
  <si>
    <t>595-D-SID</t>
  </si>
  <si>
    <t>1 pair of Wooden Floor Mat Side Frame 22mm, Cedar</t>
  </si>
  <si>
    <t>Complete delivery 8-22-26</t>
  </si>
  <si>
    <t>634-A</t>
  </si>
  <si>
    <t>Wooden Ventilation Louver Circle w/ Metal (Ø)175mm, Aspen</t>
  </si>
  <si>
    <t>Complete delivery 8-18-26</t>
  </si>
  <si>
    <t>634-D</t>
  </si>
  <si>
    <t>Wooden Ventilation Louver Circle w/ Metal (Ø)175mm, Cedar</t>
  </si>
  <si>
    <t>C/O Plant 1</t>
  </si>
  <si>
    <t>530-D</t>
  </si>
  <si>
    <t>Wooden Clock Pail-look (Ø)260x(T)90mm, Cedar</t>
  </si>
  <si>
    <t>524-D</t>
  </si>
  <si>
    <t>Wooden Sauna Bench 2-Levels (L)760x(W)534x(H)562mm, Cedar</t>
  </si>
  <si>
    <t>PL1/MO/34489</t>
  </si>
  <si>
    <t>Wooden Backrest Spinal 346x888mm, Cedar</t>
  </si>
  <si>
    <t>222-TFHA</t>
  </si>
  <si>
    <t>Box Type Rounded with cover, Thermo°F-Hygrometer Aspen</t>
  </si>
  <si>
    <t>565-D</t>
  </si>
  <si>
    <t>Wooden Handle Round Ø65mm, Cedar</t>
  </si>
  <si>
    <t>550-RD</t>
  </si>
  <si>
    <t>Wooden Sandtimer Stone Accent 65x340mm, Cedar</t>
  </si>
  <si>
    <t>Thermometer °F Cut Corner Square 140x140mm, Cedar</t>
  </si>
  <si>
    <t>321-MA</t>
  </si>
  <si>
    <t>Wooden Pail Rattan with Stainless Insert 2L, Aspen</t>
  </si>
  <si>
    <t>522-D</t>
  </si>
  <si>
    <t>Wooden Sauna Bench (L)870x(W)500x(H)510mm, Cedar</t>
  </si>
  <si>
    <t>541-D-SP</t>
  </si>
  <si>
    <t>Wooden Handle Straight Sauna Place, Cedar</t>
  </si>
  <si>
    <t>586-A</t>
  </si>
  <si>
    <t>Wooden Hook Rack (4 Hooks) 340x42mm, Aspen</t>
  </si>
  <si>
    <t>528-D</t>
  </si>
  <si>
    <t>Wooden Siro Sauna Bench (L)420x(W)280x(H)420mm, Cedar</t>
  </si>
  <si>
    <t>R-160</t>
  </si>
  <si>
    <t>KIVISTONE Luxury Rounded Aroma Cup (Ø)50mm</t>
  </si>
  <si>
    <t>102-TFD</t>
  </si>
  <si>
    <t>Thermometer °F Engrave Circle Ø100, Cedar</t>
  </si>
  <si>
    <t>HIM-SWL-275-1-V-H</t>
  </si>
  <si>
    <t>Himalayan Salt Wall – Vertical tiling, with Hemlock frame, T60 x 275mm x 675mm</t>
  </si>
  <si>
    <t xml:space="preserve">
PL1/MO/35156</t>
  </si>
  <si>
    <t>HIM-SWL-275-2-V-H</t>
  </si>
  <si>
    <t>Himalayan Salt Wall – Vertical tiling, with Hemlock frame, T60 x 275mm x 1075mm</t>
  </si>
  <si>
    <t>HIM-SWL-375-1-H</t>
  </si>
  <si>
    <t>Himalayan Salt Wall – Block tiling, with Hemlock frame, T60mm x 375mm x 675mm</t>
  </si>
  <si>
    <t>HIM-SWL-375-2-H</t>
  </si>
  <si>
    <t>Himalayan Salt Wall – Block tiling, with Hemlock frame, T60mm x 375mm x 1075mm</t>
  </si>
  <si>
    <t>HIM-SWL-FS-604-1-V</t>
  </si>
  <si>
    <t xml:space="preserve"> Himalayan Salt Frame Suport 604 for Vertical, Hemlock</t>
  </si>
  <si>
    <t>HIM-SWL-FS-1004-2-H</t>
  </si>
  <si>
    <t>Himalayan Salt Frame Suport 1004 for Horizontal, Hemlock</t>
  </si>
  <si>
    <t xml:space="preserve"> Wooden Ladle Standard 52cm, Cedar</t>
  </si>
  <si>
    <t>910-SA</t>
  </si>
  <si>
    <t>Wooden Light Cover Classic (W)250x(T)75mm, Aspen</t>
  </si>
  <si>
    <t>SAUNA PLACE logo</t>
  </si>
  <si>
    <t xml:space="preserve"> </t>
  </si>
  <si>
    <t>so #</t>
  </si>
  <si>
    <t>Product Code</t>
  </si>
  <si>
    <t>Desciption</t>
  </si>
  <si>
    <t>Qty</t>
  </si>
  <si>
    <t xml:space="preserve">Completion Date: </t>
  </si>
  <si>
    <t>Destination</t>
  </si>
  <si>
    <t>(blank)</t>
  </si>
  <si>
    <t>Grand Total</t>
  </si>
  <si>
    <t>Sum of Qty</t>
  </si>
  <si>
    <t>IR-PANEL-1-D</t>
  </si>
  <si>
    <t>Infrared Panel 1H.E, Cedar</t>
  </si>
  <si>
    <t>TBA</t>
  </si>
  <si>
    <t>HOLLAND WELLZIJN</t>
  </si>
  <si>
    <t>639-D</t>
  </si>
  <si>
    <t>Wooden Ventilation Louver Circle w/ Metallic Black (Ø)170mm, Cedar</t>
  </si>
  <si>
    <t xml:space="preserve">CHINA SMART </t>
  </si>
  <si>
    <t>Wooden Curve Light 610 Set, Cedar</t>
  </si>
  <si>
    <t xml:space="preserve">923-D-SET </t>
  </si>
  <si>
    <t>Wooden Curve Light 237 Set, Cedar</t>
  </si>
  <si>
    <t>CANADA BSAUNAS</t>
  </si>
  <si>
    <t>554-H</t>
  </si>
  <si>
    <t>Wooden Sandtimer Kanto 65x340mm, Hemlock</t>
  </si>
  <si>
    <t>Wooden Ventilation Louver Square 18x167.5x215mm, Hemlock</t>
  </si>
  <si>
    <t>Wooden Ventilation Louver Square 18x167.5x215mm, Aspen</t>
  </si>
  <si>
    <t>638-H</t>
  </si>
  <si>
    <t>Wooden Ventilation Louver Circle w/ Metallic Black (Ø)145mm, Hemlock</t>
  </si>
  <si>
    <t>638-A</t>
  </si>
  <si>
    <t>Wooden Ventilation Louver Circle w/ Metallic Black (Ø)145mm, Aspen</t>
  </si>
  <si>
    <t>639-H</t>
  </si>
  <si>
    <t>Wooden Ventilation Louver Circle w/ Metallic Black (Ø)170mm, Hemlock</t>
  </si>
  <si>
    <t>639-A</t>
  </si>
  <si>
    <t>Wooden Ventilation Louver Circle w/ Metallic Black (Ø)170mm, Aspen</t>
  </si>
  <si>
    <t>SET-BASIC-H</t>
  </si>
  <si>
    <t>HIM-SWL-275-1-V-D</t>
  </si>
  <si>
    <t xml:space="preserve"> Himalayan Salt Wall – Vertical tiling, with Cedar frame, T60 x 275mm x 675mm</t>
  </si>
  <si>
    <t>HIM-SWL-275-1-V-BL</t>
  </si>
  <si>
    <t>Himalayan Salt Wall – Vertical tiling, with Black frame, T60 x 275mm x 675mm</t>
  </si>
  <si>
    <t>HIM-SWL-375-1-D</t>
  </si>
  <si>
    <t>Himalayan Salt Wall – Block tiling, with Cedar frame, T60mm x 375mm x 675mm</t>
  </si>
  <si>
    <t>HIM-SWL-375-1-BL</t>
  </si>
  <si>
    <t>Himalayan Salt Wall – Block tiling, with Black frame, T60mm x 375mm x 675mm</t>
  </si>
  <si>
    <t>HIM-SWL-275-2-V-D</t>
  </si>
  <si>
    <t>Himalayan Salt Wall – Vertical tiling, with Cedar frame, T60 x 275mm x 1075mm</t>
  </si>
  <si>
    <t>HIM-SWL-275-2-V-BL</t>
  </si>
  <si>
    <t xml:space="preserve"> Himalayan Salt Wall – Vertical tiling, with Black frame, T60 x 275mm x 1075mm</t>
  </si>
  <si>
    <t>HIM-SWL-375-2-D</t>
  </si>
  <si>
    <t>Himalayan Salt Wall – Block tiling, with Cedar frame, T60mm x 375mm x 1075mm</t>
  </si>
  <si>
    <t>HIM-SWL-375-2-BL</t>
  </si>
  <si>
    <t>Himalayan Salt Wall – Block tiling, with Black frame, T60mm x 375mm x 1075mm</t>
  </si>
  <si>
    <t>Accessory Set Basic, Hemlock, PEFC certified</t>
  </si>
  <si>
    <t>510-D</t>
  </si>
  <si>
    <t>Wooden Pillow Straight Curve 370x295mm, Cedar</t>
  </si>
  <si>
    <t>230-TD</t>
  </si>
  <si>
    <t>Thermometer Circle Ø135xH30mm, Cedar</t>
  </si>
  <si>
    <t>9SR560-D</t>
  </si>
  <si>
    <t>9SR952-H</t>
  </si>
  <si>
    <t>9SRDP-04.8-H</t>
  </si>
  <si>
    <t>9SR568-D-1</t>
  </si>
  <si>
    <t>9SR568-D</t>
  </si>
  <si>
    <t>AUSTRALIA</t>
  </si>
  <si>
    <t>Thermo-Hygrometer Cut Corner Rectangle 240x130mm, Hemlock, PEFC certified</t>
  </si>
  <si>
    <t xml:space="preserve"> Thermometer °F Cut Corner Square 136x136mm, Cedar</t>
  </si>
  <si>
    <t>220-TFA</t>
  </si>
  <si>
    <t>Thermometer °F Cut Corner Square 140x140mm, Aspen</t>
  </si>
  <si>
    <t>556-D-CAN</t>
  </si>
  <si>
    <t>Wooden Handle Vertical CANADA, Cedar</t>
  </si>
  <si>
    <t>9SR560-BL</t>
  </si>
  <si>
    <t xml:space="preserve">CANADA SaunaFin </t>
  </si>
  <si>
    <t>552-BD</t>
  </si>
  <si>
    <t>220-TD</t>
  </si>
  <si>
    <t>225-THD</t>
  </si>
  <si>
    <t>430-H</t>
  </si>
  <si>
    <t>552-BH</t>
  </si>
  <si>
    <t>459-BL</t>
  </si>
  <si>
    <t>HONGKONG</t>
  </si>
  <si>
    <t>566-H</t>
  </si>
  <si>
    <t>Wooden Handle Round Ø91mm, Hemlock</t>
  </si>
  <si>
    <t>514-A</t>
  </si>
  <si>
    <t>Wooden Backrest Spinal 346×888mm, Aspen</t>
  </si>
  <si>
    <t>224-THA</t>
  </si>
  <si>
    <t>Thermo-Hygrometer Rectangle 255×140mm, Aspen</t>
  </si>
  <si>
    <t>552-EP</t>
  </si>
  <si>
    <t>Wooden Sandtimer Economy Pine</t>
  </si>
  <si>
    <t>335-EP</t>
  </si>
  <si>
    <t>Wooden Pail 4L, Basic Pine</t>
  </si>
  <si>
    <t>225-THA</t>
  </si>
  <si>
    <t>Thermo-Hygrometer Square 180×180mm, Aspen</t>
  </si>
  <si>
    <t>224-THD</t>
  </si>
  <si>
    <t>Thermo-Hygrometer Rectangle 255×140mm, Cedar</t>
  </si>
  <si>
    <t>913-VH</t>
  </si>
  <si>
    <t>Sauna Light Cover - Vertical (W)150x(H)110, Hemlock</t>
  </si>
  <si>
    <t>AUSTRIA Harvia</t>
  </si>
  <si>
    <t>NRNS-GUARD-W-H</t>
  </si>
  <si>
    <t>Wooden Heater Guard for NRNS, Hemlock</t>
  </si>
  <si>
    <t>INN-IH23-H</t>
  </si>
  <si>
    <t>224-THH</t>
  </si>
  <si>
    <t>Thermo-Hygrometer Rectangle 255×140mm,  Hemlock</t>
  </si>
  <si>
    <t>550-H</t>
  </si>
  <si>
    <t>347-H</t>
  </si>
  <si>
    <t>Wooden Pail Kanto 4L, Hemlock</t>
  </si>
  <si>
    <t>451-MH</t>
  </si>
  <si>
    <t>Stainless Ladle Kanto with Wooden Handle 52cm, Hemlock</t>
  </si>
  <si>
    <t>MAURITIUS</t>
  </si>
  <si>
    <t>INN-IH23-D</t>
  </si>
  <si>
    <t>923-D-SET</t>
  </si>
  <si>
    <t>Wooden Curve Light 240mm Set, Cedar</t>
  </si>
  <si>
    <t>TH-GUARD-W9-WL-H</t>
  </si>
  <si>
    <t>Wooden Heater Guard for TH9 Wall, Hemlock</t>
  </si>
  <si>
    <t>9SR559-BL</t>
  </si>
  <si>
    <t>9ISRDP-19.1-H</t>
  </si>
  <si>
    <t>9ISRDP-20.1-H</t>
  </si>
  <si>
    <t>9SR558-BL</t>
  </si>
  <si>
    <t>9SR631-BL</t>
  </si>
  <si>
    <t>9SR558-D</t>
  </si>
  <si>
    <t>THAILAND</t>
  </si>
  <si>
    <t>Accessory Set Essential, Cedar, PEFC certified</t>
  </si>
  <si>
    <t>820-E27-SET</t>
  </si>
  <si>
    <t>Sauna Light Set with E27 Bulb</t>
  </si>
  <si>
    <t>Hinge Round 90x70mm, Aluminum</t>
  </si>
  <si>
    <t>373-MD</t>
  </si>
  <si>
    <t>Stainless Steel Pail with Curve Handle 5L, Cedar</t>
  </si>
  <si>
    <t>Plastic Insert 4L</t>
  </si>
  <si>
    <t>Plastic Insert 9L</t>
  </si>
  <si>
    <t>341-MD</t>
  </si>
  <si>
    <t>595-H-BC</t>
  </si>
  <si>
    <t>Wooden Floor Mat Block 22mm, Hemlock</t>
  </si>
  <si>
    <t>635-D</t>
  </si>
  <si>
    <t xml:space="preserve">Sauna Air Ventilation Louver Square Cedar </t>
  </si>
  <si>
    <t>635-A</t>
  </si>
  <si>
    <t xml:space="preserve">Sauna Air Ventilation Louver Square  Aspen </t>
  </si>
  <si>
    <t>Wooden Pail Dragon 4L, Black</t>
  </si>
  <si>
    <t>R-980</t>
  </si>
  <si>
    <t>Sauna Stones Olivine Diabase Rounded 3–10cm, 20kg</t>
  </si>
  <si>
    <t>285-THD</t>
  </si>
  <si>
    <t>Thermo-Hygrometer Curved Square 170×175mm, Cedar</t>
  </si>
  <si>
    <t xml:space="preserve">USA Superior Sauna </t>
  </si>
  <si>
    <t>KIVISTONE Aroma Cup (Ø)50mm</t>
  </si>
  <si>
    <t>Wooden Pail 4L, Cedar, PEFC certified</t>
  </si>
  <si>
    <t>Thermo-Hygrometer Cut Corner Rectangle 240x130mm, Cedar, PEFC certified</t>
  </si>
  <si>
    <t>Wooden Sauna Guidelines (L)135x(W)135mm, Hemlock, PEFC certified</t>
  </si>
  <si>
    <t>Wooden Pail Basic 4L, Cedar, PEFC certified</t>
  </si>
  <si>
    <t>Thermo-Hygrometer Square 180×180mm, Cedar</t>
  </si>
  <si>
    <t>Wooden Pail Dragon 4L, Cedar, PEFC certified</t>
  </si>
  <si>
    <t xml:space="preserve"> Stainless Ladle Dragon 50cm, Cedar, PEFC certified</t>
  </si>
  <si>
    <t>Wooden Pillow Wave 275x295mm, Cedar, PEFC certified</t>
  </si>
  <si>
    <t xml:space="preserve"> Wooden Ladle Puro 51cm, Cedar, PEFC certified</t>
  </si>
  <si>
    <t>Wooden Sandtimer Basic 45x300mm, Hemlock, PEFC certified</t>
  </si>
  <si>
    <t xml:space="preserve"> Wooden Ladle Puro 51cm, Black</t>
  </si>
  <si>
    <t>Signage - Sauna Warning: Don't Throw Too Much Water, Hemlock</t>
  </si>
  <si>
    <t>Infrared Warning Signage, Hemlock</t>
  </si>
  <si>
    <t>Vertical Handle (Arc) Cedar</t>
  </si>
  <si>
    <t>Wooden Ladle Standard 36cm, Cedar, PEFC certified</t>
  </si>
  <si>
    <t>NRN-GUARD-W-D</t>
  </si>
  <si>
    <t>HES-GUARD-W-D</t>
  </si>
  <si>
    <t>Wooden Heater Guard for HES, Cedar</t>
  </si>
  <si>
    <t>442-MD</t>
  </si>
  <si>
    <t>Stainless Steel Ladle Usva 42cm, Cedar</t>
  </si>
  <si>
    <t>282-THRD</t>
  </si>
  <si>
    <t>ARO-EUCA4L</t>
  </si>
  <si>
    <t>Eucalyptus Scent 4 liters</t>
  </si>
  <si>
    <t>581-D</t>
  </si>
  <si>
    <t>Wooden Coaster/Bottle Opener Set 6pcs, Cedar</t>
  </si>
  <si>
    <t>TH-GUARD-W2-WL-D</t>
  </si>
  <si>
    <t>Wooden Heater Guard for TH2–TH3 Wall, Cedar</t>
  </si>
  <si>
    <t>9SR560-H</t>
  </si>
  <si>
    <t>9SR631-H</t>
  </si>
  <si>
    <t>9SR637-H</t>
  </si>
  <si>
    <t>Wooden Heater Guard for NRN, Cedar, PEFC certified</t>
  </si>
  <si>
    <t>Wooden Ladle Standard 42cm, Cedar, PEFC certified</t>
  </si>
  <si>
    <t>9SR559-D</t>
  </si>
  <si>
    <t>Rectangular Interface Holder for 2.0, Cedar, PEFC certified</t>
  </si>
  <si>
    <t>Thermo-Hygrometer w/ 2 Accent Stone 252x135mm, Cedar, PEFC certified</t>
  </si>
  <si>
    <t>Wooden Sandtimer Stone Accent 65x340mm, Cedar, PEFC certified</t>
  </si>
  <si>
    <t>Wooden Pail Rattan with Stainless Insert 3L, Cedar, PEFC certified</t>
  </si>
  <si>
    <t>Stainless Steel Ladle Small Cup 41cm, Cedar, PEFC certified</t>
  </si>
  <si>
    <t>Wooden Hook Rack (5 Hooks) 440x42mm, Cedar, PEFC certified</t>
  </si>
  <si>
    <t>9ISR05-WA03-3D</t>
  </si>
  <si>
    <t>9ISR05-WA03-2D</t>
  </si>
  <si>
    <t>TH-GUARD-W4-WL-D</t>
  </si>
  <si>
    <t>Wooden Heater Guard for TH4–TH5 Wall, Cedar, PEFC certified</t>
  </si>
  <si>
    <t>Wooden Sandtimer Classic 65×340mm, Cedar, PEFC Certified</t>
  </si>
  <si>
    <t>340-D-2</t>
  </si>
  <si>
    <t>Wooden Pail Triangular 4L, Cedar, PEFC Certified</t>
  </si>
  <si>
    <t>Pail Shower 18L, Cedar, PEFC certified</t>
  </si>
  <si>
    <t>R-131</t>
  </si>
  <si>
    <t>KIVISTONE Candle Holder Tower 60mm</t>
  </si>
  <si>
    <t>Wooden Hook Rack (4 Hooks) 340x42mm, Cedar, PEFC certified</t>
  </si>
  <si>
    <t>Wooden Backrest Curve 396x515mm, Cedar, PEFC certified</t>
  </si>
  <si>
    <t>529-D</t>
  </si>
  <si>
    <t>Wooden Siro Sauna Bench (L)850x(W)280x(H)420mm, Cedar, PEFC certified</t>
  </si>
  <si>
    <t>R-501</t>
  </si>
  <si>
    <t>KIVISTONE Aroma Spirit Cup (L)75x(W)75x(H)120mm</t>
  </si>
  <si>
    <t>LOCAL</t>
  </si>
  <si>
    <t>Signage - Guidelines for Using Sauna &amp; Steam, Hemlock</t>
  </si>
  <si>
    <t>Vertical Handle (Metal Accent) Cedar</t>
  </si>
  <si>
    <t xml:space="preserve"> Sauna Air Ventilation Louver Circular Hemlock</t>
  </si>
  <si>
    <t>Sauna Room - Infrared Panel 3 with Frame (Cedar)</t>
  </si>
  <si>
    <t>Infrared User Instruction, Hemlock</t>
  </si>
  <si>
    <t>Vertical Handle (Metal Accent) Hemlock</t>
  </si>
  <si>
    <t>Wooden Signage SAUNA 150x80mm, Hemlock, PEFC certified</t>
  </si>
  <si>
    <t>Wooden Ladle Standard 42cm, Hemlock, PEFC certified</t>
  </si>
  <si>
    <t>Wooden Sandtimer Tag 65x343mm, Hemlock, PEFC certified</t>
  </si>
  <si>
    <t xml:space="preserve"> Wooden Ventilation Louver Square 18x167.5x215mm, Cedar</t>
  </si>
  <si>
    <t xml:space="preserve"> Wooden Handle Metallic 36x900mm, Black</t>
  </si>
  <si>
    <t>UAE</t>
  </si>
  <si>
    <t>Rectangular Interface Holder for 2.0, Hemlock</t>
  </si>
  <si>
    <t>SSE</t>
  </si>
  <si>
    <t>518-D</t>
  </si>
  <si>
    <t>Wooden Backrest 160x300x510mm, Cedar</t>
  </si>
  <si>
    <t>518-A</t>
  </si>
  <si>
    <t>Wooden Backrest 160x300x510mm, Aspen</t>
  </si>
  <si>
    <t>517-D</t>
  </si>
  <si>
    <t>Wooden Backrest Hi-back 180x300x950mm, Cedar, PEFC Certified</t>
  </si>
  <si>
    <t>517-A</t>
  </si>
  <si>
    <t>Wooden Backrest Hi-back 180x300x950mm, Aspen</t>
  </si>
  <si>
    <t>HALU</t>
  </si>
  <si>
    <t xml:space="preserve">NEW ZEALAND </t>
  </si>
  <si>
    <t xml:space="preserve"> Sawo Door Handle Cedar Magnetic (734/735) </t>
  </si>
  <si>
    <t>Sawo Door Handle Magnetic Cedar</t>
  </si>
  <si>
    <t>Sauna Air Ventilation Hemlock 140 x 220mm (for sauna room)</t>
  </si>
  <si>
    <t>559 - Vertical Handle (110mm Bolt), Cedar</t>
  </si>
  <si>
    <t>Sauna Room - Infrared Panel 2 with Frame (Cedar)</t>
  </si>
  <si>
    <t>Box Type with cover, T/H Square Dial Plate, Black</t>
  </si>
  <si>
    <t xml:space="preserve"> Eucalyptus Scent 250ML</t>
  </si>
  <si>
    <t xml:space="preserve"> Wooden Pail Kanto 4L, Black</t>
  </si>
  <si>
    <t xml:space="preserve"> Wooden Sandtimer Kanto 65x340mm, Cedar, PEFC certified</t>
  </si>
  <si>
    <t xml:space="preserve"> Wooden Pail Kanto 4L, Cedar , PEFC Certified</t>
  </si>
  <si>
    <t xml:space="preserve"> Vertical Handle (Metal Accent) Black</t>
  </si>
  <si>
    <t xml:space="preserve"> Wooden Sandtimer 67x340mm, Cedar, PEFC certified</t>
  </si>
  <si>
    <t xml:space="preserve"> Wooden Ladle Standard 36cm, Hemlock, PEFC certified</t>
  </si>
  <si>
    <t xml:space="preserve"> Wooden Pail 4L, Hemlock, PEFC certified</t>
  </si>
  <si>
    <t xml:space="preserve">  Wooden Sandtimer Basic 45x300mm, Cedar, PEFC certified </t>
  </si>
  <si>
    <t xml:space="preserve"> Thermometer Cut Corner Square 136x136mm, Cedar, PEFC certified</t>
  </si>
  <si>
    <t xml:space="preserve"> Vertical Handle (Arc) Black</t>
  </si>
  <si>
    <t xml:space="preserve"> Sauna Air Ventilation Louver Circular, Black</t>
  </si>
  <si>
    <t xml:space="preserve"> Wooden Sandtimer Tag 65x343mm, Cedar, PEFC certified</t>
  </si>
  <si>
    <t>Wooden Curve Light 364mm Set, Cedar, PEFC certified</t>
  </si>
  <si>
    <t>Accessories Set Luxury, Black</t>
  </si>
  <si>
    <t>USA Mr.Steam</t>
  </si>
  <si>
    <t xml:space="preserve"> Accessory Set Signature, Cedar, PEFC certified</t>
  </si>
  <si>
    <t>225-THFD</t>
  </si>
  <si>
    <t>NO SO YET</t>
  </si>
  <si>
    <t>Wooden Pail Rattan 4L, Cedar, PEFC certified</t>
  </si>
  <si>
    <t>281-THRD</t>
  </si>
  <si>
    <t>Thermo-Hygrometer w/ 2 Accent Stone 160x160mm, Cedar, PEFC certified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</si>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</sst>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Arial"/>
      <family val="2"/>
    </font>
    <font>
      <b/>
      <sz val="11"/>
      <name val="Cambria"/>
      <family val="1"/>
      <scheme val="maj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2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9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10"/>
      <name val="Verdana"/>
      <family val="2"/>
    </font>
    <font>
      <i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u/>
      <sz val="9.9"/>
      <color theme="10"/>
      <name val="Calibri"/>
      <family val="2"/>
    </font>
    <font>
      <sz val="11"/>
      <color theme="1"/>
      <name val="Comic Sans MS"/>
      <family val="2"/>
    </font>
    <font>
      <sz val="11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1EF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8">
    <xf numFmtId="0" fontId="0" fillId="0" borderId="0"/>
    <xf numFmtId="9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18" borderId="14" applyNumberFormat="0" applyFont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 applyNumberFormat="0" applyFill="0" applyBorder="0" applyProtection="0">
      <alignment horizontal="left"/>
    </xf>
    <xf numFmtId="0" fontId="13" fillId="0" borderId="0"/>
  </cellStyleXfs>
  <cellXfs count="181">
    <xf numFmtId="0" fontId="0" fillId="0" borderId="0" xfId="0"/>
    <xf numFmtId="0" fontId="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4" borderId="0" xfId="0" applyFont="1" applyFill="1" applyProtection="1">
      <protection locked="0"/>
    </xf>
    <xf numFmtId="0" fontId="5" fillId="5" borderId="3" xfId="0" applyFont="1" applyFill="1" applyBorder="1" applyAlignment="1">
      <alignment horizontal="center"/>
    </xf>
    <xf numFmtId="0" fontId="7" fillId="7" borderId="0" xfId="0" applyFont="1" applyFill="1" applyAlignment="1" applyProtection="1">
      <alignment horizontal="center" vertical="center"/>
      <protection locked="0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4" borderId="3" xfId="0" applyFont="1" applyFill="1" applyBorder="1" applyProtection="1">
      <protection locked="0"/>
    </xf>
    <xf numFmtId="0" fontId="7" fillId="7" borderId="3" xfId="0" applyFont="1" applyFill="1" applyBorder="1" applyAlignment="1" applyProtection="1">
      <alignment horizontal="center" vertical="center"/>
      <protection locked="0"/>
    </xf>
    <xf numFmtId="0" fontId="9" fillId="8" borderId="1" xfId="0" applyFont="1" applyFill="1" applyBorder="1" applyAlignment="1">
      <alignment horizontal="center"/>
    </xf>
    <xf numFmtId="0" fontId="9" fillId="5" borderId="2" xfId="0" applyFont="1" applyFill="1" applyBorder="1" applyAlignment="1" applyProtection="1">
      <alignment vertical="center" wrapText="1"/>
      <protection locked="0"/>
    </xf>
    <xf numFmtId="0" fontId="11" fillId="4" borderId="2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/>
    </xf>
    <xf numFmtId="49" fontId="9" fillId="8" borderId="2" xfId="0" applyNumberFormat="1" applyFont="1" applyFill="1" applyBorder="1" applyAlignment="1">
      <alignment horizontal="center"/>
    </xf>
    <xf numFmtId="0" fontId="15" fillId="6" borderId="2" xfId="0" applyFont="1" applyFill="1" applyBorder="1" applyAlignment="1" applyProtection="1">
      <alignment vertical="top" wrapText="1"/>
      <protection locked="0"/>
    </xf>
    <xf numFmtId="0" fontId="15" fillId="13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9" fillId="5" borderId="13" xfId="0" applyFont="1" applyFill="1" applyBorder="1" applyAlignment="1" applyProtection="1">
      <alignment vertical="center" wrapText="1"/>
      <protection locked="0"/>
    </xf>
    <xf numFmtId="0" fontId="11" fillId="4" borderId="13" xfId="0" applyFont="1" applyFill="1" applyBorder="1" applyAlignment="1">
      <alignment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 applyProtection="1">
      <alignment horizont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6" borderId="13" xfId="0" applyFont="1" applyFill="1" applyBorder="1" applyAlignment="1" applyProtection="1">
      <alignment vertical="top" wrapText="1"/>
      <protection locked="0"/>
    </xf>
    <xf numFmtId="0" fontId="15" fillId="13" borderId="13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vertical="center" wrapText="1"/>
    </xf>
    <xf numFmtId="0" fontId="9" fillId="14" borderId="7" xfId="0" applyFont="1" applyFill="1" applyBorder="1" applyAlignment="1">
      <alignment horizontal="center"/>
    </xf>
    <xf numFmtId="0" fontId="9" fillId="14" borderId="1" xfId="0" applyFont="1" applyFill="1" applyBorder="1" applyAlignment="1" applyProtection="1">
      <alignment horizontal="right"/>
      <protection locked="0"/>
    </xf>
    <xf numFmtId="0" fontId="9" fillId="14" borderId="1" xfId="0" applyFont="1" applyFill="1" applyBorder="1" applyProtection="1">
      <protection locked="0"/>
    </xf>
    <xf numFmtId="0" fontId="6" fillId="14" borderId="1" xfId="0" applyFont="1" applyFill="1" applyBorder="1" applyProtection="1">
      <protection locked="0"/>
    </xf>
    <xf numFmtId="0" fontId="9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 applyProtection="1">
      <alignment horizontal="center" wrapText="1"/>
      <protection locked="0"/>
    </xf>
    <xf numFmtId="0" fontId="9" fillId="14" borderId="1" xfId="0" applyFont="1" applyFill="1" applyBorder="1" applyAlignment="1">
      <alignment vertical="top" wrapText="1"/>
    </xf>
    <xf numFmtId="0" fontId="16" fillId="14" borderId="13" xfId="0" applyFont="1" applyFill="1" applyBorder="1" applyAlignment="1" applyProtection="1">
      <alignment horizontal="center" wrapText="1"/>
      <protection locked="0"/>
    </xf>
    <xf numFmtId="0" fontId="16" fillId="14" borderId="13" xfId="0" applyFont="1" applyFill="1" applyBorder="1" applyAlignment="1" applyProtection="1">
      <alignment horizontal="center" vertical="center" wrapText="1"/>
      <protection locked="0"/>
    </xf>
    <xf numFmtId="0" fontId="16" fillId="14" borderId="13" xfId="0" applyFont="1" applyFill="1" applyBorder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0" fontId="9" fillId="14" borderId="13" xfId="0" applyFont="1" applyFill="1" applyBorder="1" applyAlignment="1">
      <alignment horizontal="center"/>
    </xf>
    <xf numFmtId="164" fontId="9" fillId="14" borderId="7" xfId="0" applyNumberFormat="1" applyFont="1" applyFill="1" applyBorder="1" applyAlignment="1">
      <alignment horizontal="center"/>
    </xf>
    <xf numFmtId="164" fontId="9" fillId="14" borderId="1" xfId="1" applyNumberFormat="1" applyFont="1" applyFill="1" applyBorder="1" applyAlignment="1">
      <alignment horizontal="center" vertical="center"/>
    </xf>
    <xf numFmtId="164" fontId="7" fillId="14" borderId="1" xfId="1" applyNumberFormat="1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/>
    </xf>
    <xf numFmtId="0" fontId="2" fillId="15" borderId="1" xfId="0" applyFont="1" applyFill="1" applyBorder="1" applyProtection="1">
      <protection locked="0"/>
    </xf>
    <xf numFmtId="0" fontId="18" fillId="15" borderId="1" xfId="0" applyFont="1" applyFill="1" applyBorder="1" applyProtection="1">
      <protection locked="0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 applyProtection="1">
      <alignment horizontal="center" wrapText="1"/>
      <protection locked="0"/>
    </xf>
    <xf numFmtId="0" fontId="2" fillId="15" borderId="1" xfId="0" applyFont="1" applyFill="1" applyBorder="1" applyAlignment="1">
      <alignment vertical="top" wrapText="1"/>
    </xf>
    <xf numFmtId="0" fontId="15" fillId="0" borderId="13" xfId="0" applyFont="1" applyBorder="1" applyAlignment="1" applyProtection="1">
      <alignment horizont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15" borderId="0" xfId="0" applyFont="1" applyFill="1"/>
    <xf numFmtId="0" fontId="19" fillId="15" borderId="1" xfId="0" applyFont="1" applyFill="1" applyBorder="1" applyProtection="1">
      <protection locked="0"/>
    </xf>
    <xf numFmtId="0" fontId="4" fillId="16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2" fillId="16" borderId="0" xfId="0" applyFont="1" applyFill="1"/>
    <xf numFmtId="0" fontId="2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0" fillId="15" borderId="1" xfId="0" applyFont="1" applyFill="1" applyBorder="1" applyAlignment="1" applyProtection="1">
      <alignment horizontal="center" wrapText="1"/>
      <protection locked="0"/>
    </xf>
    <xf numFmtId="16" fontId="2" fillId="15" borderId="1" xfId="0" applyNumberFormat="1" applyFont="1" applyFill="1" applyBorder="1" applyAlignment="1">
      <alignment vertical="top" wrapText="1"/>
    </xf>
    <xf numFmtId="0" fontId="21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22" fillId="15" borderId="0" xfId="0" applyFont="1" applyFill="1" applyAlignment="1">
      <alignment wrapText="1"/>
    </xf>
    <xf numFmtId="0" fontId="23" fillId="15" borderId="1" xfId="0" applyFont="1" applyFill="1" applyBorder="1" applyAlignment="1">
      <alignment horizontal="center" wrapText="1"/>
    </xf>
    <xf numFmtId="0" fontId="2" fillId="15" borderId="1" xfId="0" applyFont="1" applyFill="1" applyBorder="1" applyAlignment="1" applyProtection="1">
      <alignment vertical="center"/>
      <protection locked="0"/>
    </xf>
    <xf numFmtId="0" fontId="2" fillId="15" borderId="1" xfId="0" applyFont="1" applyFill="1" applyBorder="1" applyAlignment="1" applyProtection="1">
      <alignment horizontal="center" vertical="center" wrapText="1"/>
      <protection locked="0"/>
    </xf>
    <xf numFmtId="0" fontId="2" fillId="15" borderId="1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20" fillId="15" borderId="1" xfId="0" applyFont="1" applyFill="1" applyBorder="1" applyAlignment="1" applyProtection="1">
      <alignment horizontal="center" vertical="center" wrapText="1"/>
      <protection locked="0"/>
    </xf>
    <xf numFmtId="0" fontId="2" fillId="15" borderId="1" xfId="0" applyFont="1" applyFill="1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2" fillId="4" borderId="0" xfId="0" applyFont="1" applyFill="1"/>
    <xf numFmtId="0" fontId="7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vertical="top" wrapText="1"/>
    </xf>
    <xf numFmtId="0" fontId="9" fillId="0" borderId="0" xfId="0" applyFont="1"/>
    <xf numFmtId="0" fontId="17" fillId="0" borderId="7" xfId="0" applyFont="1" applyBorder="1" applyAlignment="1">
      <alignment horizontal="center"/>
    </xf>
    <xf numFmtId="0" fontId="18" fillId="0" borderId="1" xfId="0" applyFont="1" applyBorder="1" applyProtection="1">
      <protection locked="0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>
      <alignment vertical="top" wrapText="1"/>
    </xf>
    <xf numFmtId="0" fontId="19" fillId="0" borderId="1" xfId="0" applyFont="1" applyBorder="1" applyProtection="1">
      <protection locked="0"/>
    </xf>
    <xf numFmtId="0" fontId="17" fillId="16" borderId="7" xfId="0" applyFont="1" applyFill="1" applyBorder="1" applyAlignment="1">
      <alignment horizontal="center"/>
    </xf>
    <xf numFmtId="0" fontId="2" fillId="16" borderId="1" xfId="0" applyFont="1" applyFill="1" applyBorder="1" applyProtection="1">
      <protection locked="0"/>
    </xf>
    <xf numFmtId="0" fontId="19" fillId="16" borderId="1" xfId="0" applyFont="1" applyFill="1" applyBorder="1" applyProtection="1">
      <protection locked="0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 applyProtection="1">
      <alignment horizontal="center" wrapText="1"/>
      <protection locked="0"/>
    </xf>
    <xf numFmtId="0" fontId="2" fillId="16" borderId="1" xfId="0" applyFont="1" applyFill="1" applyBorder="1" applyAlignment="1">
      <alignment vertical="top" wrapText="1"/>
    </xf>
    <xf numFmtId="0" fontId="18" fillId="16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8" fillId="4" borderId="1" xfId="0" applyFont="1" applyFill="1" applyBorder="1" applyProtection="1">
      <protection locked="0"/>
    </xf>
    <xf numFmtId="0" fontId="19" fillId="4" borderId="1" xfId="0" applyFont="1" applyFill="1" applyBorder="1" applyAlignment="1" applyProtection="1">
      <alignment vertical="center"/>
      <protection locked="0"/>
    </xf>
    <xf numFmtId="0" fontId="19" fillId="4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/>
    </xf>
    <xf numFmtId="16" fontId="4" fillId="15" borderId="1" xfId="0" applyNumberFormat="1" applyFont="1" applyFill="1" applyBorder="1"/>
    <xf numFmtId="16" fontId="4" fillId="0" borderId="1" xfId="0" applyNumberFormat="1" applyFont="1" applyBorder="1"/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0" fillId="17" borderId="1" xfId="0" applyFill="1" applyBorder="1"/>
    <xf numFmtId="164" fontId="9" fillId="14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0" fillId="17" borderId="0" xfId="0" applyFill="1"/>
    <xf numFmtId="0" fontId="2" fillId="15" borderId="1" xfId="0" applyFont="1" applyFill="1" applyBorder="1" applyAlignment="1" applyProtection="1">
      <alignment horizontal="left"/>
      <protection locked="0"/>
    </xf>
    <xf numFmtId="0" fontId="9" fillId="15" borderId="1" xfId="0" applyFont="1" applyFill="1" applyBorder="1" applyAlignment="1" applyProtection="1">
      <alignment horizontal="right"/>
      <protection locked="0"/>
    </xf>
    <xf numFmtId="0" fontId="0" fillId="15" borderId="0" xfId="0" applyFill="1"/>
    <xf numFmtId="0" fontId="0" fillId="15" borderId="1" xfId="0" applyFill="1" applyBorder="1"/>
    <xf numFmtId="0" fontId="19" fillId="15" borderId="1" xfId="0" applyFont="1" applyFill="1" applyBorder="1" applyAlignment="1" applyProtection="1">
      <alignment vertical="center"/>
      <protection locked="0"/>
    </xf>
    <xf numFmtId="0" fontId="6" fillId="15" borderId="1" xfId="0" applyFont="1" applyFill="1" applyBorder="1" applyProtection="1">
      <protection locked="0"/>
    </xf>
    <xf numFmtId="0" fontId="9" fillId="15" borderId="1" xfId="0" applyFont="1" applyFill="1" applyBorder="1" applyProtection="1">
      <protection locked="0"/>
    </xf>
    <xf numFmtId="16" fontId="0" fillId="0" borderId="1" xfId="0" applyNumberFormat="1" applyBorder="1"/>
    <xf numFmtId="0" fontId="0" fillId="0" borderId="1" xfId="0" pivotButton="1" applyBorder="1" applyAlignment="1">
      <alignment horizontal="center"/>
    </xf>
    <xf numFmtId="0" fontId="0" fillId="17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17" borderId="7" xfId="0" applyFill="1" applyBorder="1"/>
    <xf numFmtId="0" fontId="0" fillId="0" borderId="7" xfId="0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17" borderId="7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4" fillId="3" borderId="13" xfId="0" applyFont="1" applyFill="1" applyBorder="1" applyAlignment="1" applyProtection="1">
      <alignment horizontal="center" vertical="center" wrapText="1"/>
      <protection locked="0"/>
    </xf>
    <xf numFmtId="0" fontId="5" fillId="5" borderId="3" xfId="0" applyFont="1" applyFill="1" applyBorder="1" applyAlignment="1">
      <alignment horizontal="center"/>
    </xf>
    <xf numFmtId="0" fontId="6" fillId="6" borderId="4" xfId="0" applyFont="1" applyFill="1" applyBorder="1" applyAlignment="1" applyProtection="1">
      <alignment horizontal="center"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15" fontId="6" fillId="7" borderId="4" xfId="0" applyNumberFormat="1" applyFont="1" applyFill="1" applyBorder="1" applyAlignment="1" applyProtection="1">
      <alignment horizontal="center" vertical="center"/>
      <protection locked="0"/>
    </xf>
    <xf numFmtId="15" fontId="6" fillId="7" borderId="5" xfId="0" applyNumberFormat="1" applyFont="1" applyFill="1" applyBorder="1" applyAlignment="1" applyProtection="1">
      <alignment horizontal="center" vertical="center"/>
      <protection locked="0"/>
    </xf>
    <xf numFmtId="15" fontId="6" fillId="7" borderId="3" xfId="0" applyNumberFormat="1" applyFont="1" applyFill="1" applyBorder="1" applyAlignment="1" applyProtection="1">
      <alignment horizontal="center" vertical="center"/>
      <protection locked="0"/>
    </xf>
    <xf numFmtId="15" fontId="6" fillId="7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6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14" fontId="13" fillId="10" borderId="2" xfId="0" applyNumberFormat="1" applyFont="1" applyFill="1" applyBorder="1" applyAlignment="1">
      <alignment horizontal="center" vertical="center" textRotation="45" wrapText="1"/>
    </xf>
    <xf numFmtId="14" fontId="13" fillId="10" borderId="13" xfId="0" applyNumberFormat="1" applyFont="1" applyFill="1" applyBorder="1" applyAlignment="1">
      <alignment horizontal="center" vertical="center" textRotation="45" wrapText="1"/>
    </xf>
    <xf numFmtId="14" fontId="7" fillId="11" borderId="2" xfId="0" applyNumberFormat="1" applyFont="1" applyFill="1" applyBorder="1" applyAlignment="1">
      <alignment horizontal="center" vertical="center" wrapText="1"/>
    </xf>
    <xf numFmtId="14" fontId="7" fillId="11" borderId="13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9" fontId="10" fillId="8" borderId="5" xfId="1" applyFont="1" applyFill="1" applyBorder="1" applyAlignment="1">
      <alignment horizontal="center" vertical="center"/>
    </xf>
    <xf numFmtId="9" fontId="10" fillId="8" borderId="10" xfId="1" applyFont="1" applyFill="1" applyBorder="1" applyAlignment="1">
      <alignment horizontal="center" vertical="center"/>
    </xf>
    <xf numFmtId="14" fontId="12" fillId="10" borderId="2" xfId="0" applyNumberFormat="1" applyFont="1" applyFill="1" applyBorder="1" applyAlignment="1">
      <alignment horizontal="center" vertical="center" textRotation="45" wrapText="1"/>
    </xf>
    <xf numFmtId="14" fontId="12" fillId="10" borderId="13" xfId="0" applyNumberFormat="1" applyFont="1" applyFill="1" applyBorder="1" applyAlignment="1">
      <alignment horizontal="center" vertical="center" textRotation="45" wrapText="1"/>
    </xf>
    <xf numFmtId="14" fontId="12" fillId="10" borderId="7" xfId="0" applyNumberFormat="1" applyFont="1" applyFill="1" applyBorder="1" applyAlignment="1">
      <alignment horizontal="center" vertical="center" wrapText="1"/>
    </xf>
    <xf numFmtId="14" fontId="12" fillId="10" borderId="12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7" borderId="3" xfId="0" applyFont="1" applyFill="1" applyBorder="1" applyAlignment="1" applyProtection="1">
      <alignment horizontal="center" vertical="center"/>
      <protection locked="0"/>
    </xf>
    <xf numFmtId="0" fontId="6" fillId="7" borderId="10" xfId="0" applyFont="1" applyFill="1" applyBorder="1" applyAlignment="1" applyProtection="1">
      <alignment horizontal="center" vertical="center"/>
      <protection locked="0"/>
    </xf>
  </cellXfs>
  <cellStyles count="28">
    <cellStyle name="20% - Accent1 2" xfId="2" xr:uid="{5BB3580A-3A97-4028-8122-CF34DD829F4C}"/>
    <cellStyle name="20% - Accent2 2" xfId="3" xr:uid="{6B25BCB8-80C4-4A9B-87DC-EB3F909476EC}"/>
    <cellStyle name="20% - Accent3 2" xfId="4" xr:uid="{52E8F4EE-3B7B-4804-9D1F-A6FA289997EB}"/>
    <cellStyle name="20% - Accent4 2" xfId="5" xr:uid="{EF4CF6A2-0C3E-4F7E-97EC-F827DF4956D0}"/>
    <cellStyle name="40% - Accent3 2" xfId="6" xr:uid="{25318D91-3E7D-4616-8853-CB05DFE6C7D3}"/>
    <cellStyle name="60% - Accent3 2" xfId="7" xr:uid="{4A0137A0-0516-4B27-9008-040087283C78}"/>
    <cellStyle name="60% - Accent4 2" xfId="8" xr:uid="{80D9CED8-CC24-4296-B2FE-6D38AB210E53}"/>
    <cellStyle name="60% - Accent6 2" xfId="9" xr:uid="{2FF59067-DED9-46F7-976C-F2CE69A523CD}"/>
    <cellStyle name="Comma 2" xfId="10" xr:uid="{32400318-21A2-4FA7-9C67-417F2575AD55}"/>
    <cellStyle name="Hyperlink 2" xfId="11" xr:uid="{D1771EA9-86AD-4C96-9E4F-06292954C92D}"/>
    <cellStyle name="Normal" xfId="0" builtinId="0"/>
    <cellStyle name="Normal 10" xfId="12" xr:uid="{A9E6FB89-0D62-470C-9444-936F847A3363}"/>
    <cellStyle name="Normal 11" xfId="13" xr:uid="{C0309BE0-4159-4CFB-9528-0D295E44AD13}"/>
    <cellStyle name="Normal 2" xfId="14" xr:uid="{EE864825-2FB4-4ACF-829B-1DF9B09C5E95}"/>
    <cellStyle name="Normal 2 2" xfId="15" xr:uid="{B1F9EB97-35DB-48F9-B829-AB4C831C1878}"/>
    <cellStyle name="Normal 3" xfId="16" xr:uid="{1E7E382E-CF52-44E1-BFE5-27FB67BF2110}"/>
    <cellStyle name="Normal 4" xfId="17" xr:uid="{7F7630E2-0233-4510-830A-DDF241F46AA9}"/>
    <cellStyle name="Normal 5" xfId="18" xr:uid="{ED487402-5B2B-4C90-964F-98FC7D6E18AB}"/>
    <cellStyle name="Normal 6" xfId="19" xr:uid="{21674AD1-99FE-40CC-8E7D-699DD5851131}"/>
    <cellStyle name="Normal 7" xfId="20" xr:uid="{5E7771AF-B87D-4FDF-8047-5F9F04B55E4E}"/>
    <cellStyle name="Normal 8" xfId="21" xr:uid="{010BC287-4FE8-4FE2-A0AF-69EB20E7EF7C}"/>
    <cellStyle name="Normal 9" xfId="22" xr:uid="{5D59DD20-C774-47A1-ABDF-74529CBDCDE1}"/>
    <cellStyle name="Note 2" xfId="23" xr:uid="{F1E57DFB-E363-4523-A656-7FB3B378B1B1}"/>
    <cellStyle name="Percent" xfId="1" builtinId="5"/>
    <cellStyle name="Percent 2" xfId="24" xr:uid="{20D1ADD5-DC83-4FFF-B0B8-1B46F25122B8}"/>
    <cellStyle name="Percent 3" xfId="25" xr:uid="{94415620-E7D7-4825-BE8B-DADD5A876A7A}"/>
    <cellStyle name="Pivot Table Category" xfId="26" xr:uid="{092B8A89-273F-42F4-ABD6-94BBC1AC378D}"/>
    <cellStyle name="Обычный_Лист1 2" xfId="27" xr:uid="{355D41C1-EC77-4D30-838D-BECD78097E98}"/>
  </cellStyles>
  <dxfs count="173"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143347</xdr:rowOff>
    </xdr:from>
    <xdr:to>
      <xdr:col>7</xdr:col>
      <xdr:colOff>308842</xdr:colOff>
      <xdr:row>173</xdr:row>
      <xdr:rowOff>9348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612A9-529C-48CE-B680-39A4F83C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66247"/>
          <a:ext cx="7270632" cy="5200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1257488</xdr:colOff>
      <xdr:row>144</xdr:row>
      <xdr:rowOff>61851</xdr:rowOff>
    </xdr:from>
    <xdr:to>
      <xdr:col>55</xdr:col>
      <xdr:colOff>34384</xdr:colOff>
      <xdr:row>166</xdr:row>
      <xdr:rowOff>108946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31E81-CEF6-4D3B-AEA5-E51D47B3F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1538" y="30694251"/>
          <a:ext cx="4910996" cy="4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143347</xdr:rowOff>
    </xdr:from>
    <xdr:to>
      <xdr:col>8</xdr:col>
      <xdr:colOff>29661</xdr:colOff>
      <xdr:row>115</xdr:row>
      <xdr:rowOff>9348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46304-0E83-4FAA-B193-E391B9DB3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66247"/>
          <a:ext cx="7270632" cy="5200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1257488</xdr:colOff>
      <xdr:row>86</xdr:row>
      <xdr:rowOff>61851</xdr:rowOff>
    </xdr:from>
    <xdr:to>
      <xdr:col>55</xdr:col>
      <xdr:colOff>34384</xdr:colOff>
      <xdr:row>108</xdr:row>
      <xdr:rowOff>108946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087E8-184C-481D-8B8D-4A12833DB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1538" y="30694251"/>
          <a:ext cx="4910996" cy="4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143347</xdr:rowOff>
    </xdr:from>
    <xdr:to>
      <xdr:col>8</xdr:col>
      <xdr:colOff>29661</xdr:colOff>
      <xdr:row>81</xdr:row>
      <xdr:rowOff>9348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BA2FB-49D5-47DE-9CDD-2A35C7DCF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66247"/>
          <a:ext cx="7270632" cy="5200001"/>
        </a:xfrm>
        <a:prstGeom prst="rect">
          <a:avLst/>
        </a:prstGeom>
      </xdr:spPr>
    </xdr:pic>
    <xdr:clientData/>
  </xdr:twoCellAnchor>
  <xdr:twoCellAnchor editAs="oneCell">
    <xdr:from>
      <xdr:col>22</xdr:col>
      <xdr:colOff>1257488</xdr:colOff>
      <xdr:row>52</xdr:row>
      <xdr:rowOff>61851</xdr:rowOff>
    </xdr:from>
    <xdr:to>
      <xdr:col>55</xdr:col>
      <xdr:colOff>34384</xdr:colOff>
      <xdr:row>74</xdr:row>
      <xdr:rowOff>108946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B61CE-1583-4F72-8B6B-EBF1273F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1538" y="30694251"/>
          <a:ext cx="4910996" cy="42380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lynn A. Aying" refreshedDate="46318.455165856481" createdVersion="8" refreshedVersion="8" minRefreshableVersion="3" recordCount="389" xr:uid="{227D89A9-2698-4F2E-8663-55E91E834BE5}">
  <cacheSource type="worksheet">
    <worksheetSource ref="A1:F1048576" sheet="Sheet4"/>
  </cacheSource>
  <cacheFields count="6">
    <cacheField name="Destination" numFmtId="0">
      <sharedItems containsBlank="1" count="28">
        <s v="HOLLAND WELLZIJN"/>
        <s v="CHINA SMART "/>
        <s v="CANADA BSAUNAS"/>
        <s v="AUSTRALIA"/>
        <s v="LOCAL"/>
        <s v="HONGKONG"/>
        <s v="AUSTRIA Harvia"/>
        <s v="CANADA SaunaFin "/>
        <s v="UAE"/>
        <s v="THAILAND"/>
        <s v="MAURITIUS"/>
        <s v="SSE"/>
        <s v="HALU"/>
        <s v="NEW ZEALAND "/>
        <s v="USA Superior Sauna "/>
        <s v="USA Mr.Steam"/>
        <s v="VIETNAM"/>
        <m/>
        <s v="USA Mr. Steam" u="1"/>
        <s v="SAWO SAUNA EUROPE BV" u="1"/>
        <s v="UAE " u="1"/>
        <s v="NEW ZEALAND" u="1"/>
        <s v="USA sauna place" u="1"/>
        <s v="GEORGIA" u="1"/>
        <s v="CANADA BSAUNAS " u="1"/>
        <s v="Sir Vm" u="1"/>
        <s v="CHINA" u="1"/>
        <s v="THAILAND " u="1"/>
      </sharedItems>
    </cacheField>
    <cacheField name="so #" numFmtId="0">
      <sharedItems containsBlank="1" containsMixedTypes="1" containsNumber="1" containsInteger="1" minValue="6583" maxValue="9389" count="41">
        <n v="6638"/>
        <n v="6773"/>
        <n v="6583"/>
        <n v="7159"/>
        <n v="8765"/>
        <m/>
        <n v="9204"/>
        <n v="9005"/>
        <n v="8952"/>
        <n v="8814"/>
        <n v="9143"/>
        <n v="9160"/>
        <n v="9164"/>
        <n v="9288"/>
        <n v="8938"/>
        <n v="9153"/>
        <n v="9122"/>
        <s v="NO SO YET"/>
        <n v="9389"/>
        <n v="8766" u="1"/>
        <n v="8767" u="1"/>
        <n v="8768" u="1"/>
        <n v="8769" u="1"/>
        <n v="8770" u="1"/>
        <n v="8771" u="1"/>
        <n v="8772" u="1"/>
        <n v="8773" u="1"/>
        <n v="8774" u="1"/>
        <n v="8775" u="1"/>
        <n v="8776" u="1"/>
        <n v="8777" u="1"/>
        <n v="8778" u="1"/>
        <n v="8779" u="1"/>
        <n v="9259" u="1"/>
        <n v="8217" u="1"/>
        <n v="8477" u="1"/>
        <n v="8641" u="1"/>
        <n v="8618" u="1"/>
        <n v="8450" u="1"/>
        <n v="8667" u="1"/>
        <n v="8643" u="1"/>
      </sharedItems>
    </cacheField>
    <cacheField name="Product Code" numFmtId="0">
      <sharedItems containsBlank="1" containsMixedTypes="1" containsNumber="1" containsInteger="1" minValue="304" maxValue="571" count="162">
        <s v="639-BL"/>
        <s v="639-D"/>
        <s v="924-D-SET"/>
        <s v="925-D-SET"/>
        <s v="923-D-SET "/>
        <s v="340-D"/>
        <s v="440-D"/>
        <s v="620-D"/>
        <s v="559-D"/>
        <s v="550-D"/>
        <s v="221-THD"/>
        <s v="510-D"/>
        <s v="230-TD"/>
        <s v="9SR560-D"/>
        <s v="9SR952-H"/>
        <s v="9SRDP-04.8-H"/>
        <s v="9SR568-D-1"/>
        <s v="9SR568-D"/>
        <s v="NRN-GUARD-W-D"/>
        <s v="560-D"/>
        <s v="HES-GUARD-W-D"/>
        <s v="341-MD"/>
        <s v="442-MD"/>
        <s v="282-THRD"/>
        <s v="550-RD"/>
        <s v="ARO-EUCA4L"/>
        <s v="553-D"/>
        <s v="443-D"/>
        <s v="581-D"/>
        <s v="INN-IH23-D"/>
        <s v="444-D"/>
        <s v="341-D"/>
        <s v="TH-GUARD-W2-WL-D"/>
        <s v="441-MD"/>
        <s v="9SR560-H"/>
        <s v="9SR631-H"/>
        <s v="9SR637-H"/>
        <s v="9SR559-D"/>
        <s v="515-D"/>
        <s v="583-D"/>
        <s v="9ISR05-WA03-3D"/>
        <s v="9ISR05-WA03-2D"/>
        <s v="TH-GUARD-W4-WL-D"/>
        <s v="551-D"/>
        <s v="340-D-2"/>
        <s v="393-D"/>
        <s v="950-H"/>
        <s v="R-131"/>
        <s v="586-D"/>
        <s v="R-160"/>
        <s v="516-D"/>
        <s v="529-D"/>
        <s v="R-501"/>
        <s v="440-H"/>
        <s v="340-H"/>
        <s v="221-THH"/>
        <s v="550-H"/>
        <s v="IR-PANEL-1-D"/>
        <s v="512-D"/>
        <s v="566-H"/>
        <s v="514-A"/>
        <s v="224-THA"/>
        <s v="552-EP"/>
        <s v="917-A"/>
        <s v="430-H"/>
        <s v="553-A"/>
        <s v="335-EP"/>
        <s v="225-THA"/>
        <s v="224-THD"/>
        <s v="553-BL"/>
        <s v="620-H"/>
        <s v="631-H"/>
        <s v="913-VH"/>
        <s v="552-BH"/>
        <s v="917-D"/>
        <s v="560-BL"/>
        <s v="SET-SIG-BL"/>
        <s v="R-100"/>
        <s v="225-BL"/>
        <s v="459-BL"/>
        <s v="515-BL"/>
        <s v="554-BL"/>
        <s v="955-H"/>
        <s v="ARO-EUCA250"/>
        <s v="347-BL"/>
        <s v="SET-SIG-D"/>
        <s v="225-THD"/>
        <s v="459-D"/>
        <s v="554-D"/>
        <s v="347-D"/>
        <s v="220-TFD"/>
        <s v="220-TFA"/>
        <s v="556-D-CAN"/>
        <s v="9SR560-BL"/>
        <s v="SET-ESS-D"/>
        <s v="430-D"/>
        <s v="914-VD"/>
        <s v="923-D-SET"/>
        <s v="SET-BASIC-H"/>
        <s v="SET-TRAD-D"/>
        <s v="552-BD"/>
        <s v="220-TD"/>
        <s v="340-BD"/>
        <s v="TH-GUARD-W9-WL-H"/>
        <s v="9SR559-BL"/>
        <s v="9ISRDP-19.1-H"/>
        <s v="9ISRDP-20.1-H"/>
        <s v="9SR558-BL"/>
        <s v="9SR631-BL"/>
        <s v="9SR558-D"/>
        <s v="NRNS-GUARD-W-H"/>
        <s v="INN-IH23-H"/>
        <s v="224-THH"/>
        <s v="347-H"/>
        <s v="451-MH"/>
        <s v="553-H"/>
        <s v="554-H"/>
        <s v="631-A"/>
        <s v="631-D"/>
        <s v="620-A"/>
        <s v="638-H"/>
        <s v="638-A"/>
        <s v="638-D"/>
        <s v="639-H"/>
        <s v="639-A"/>
        <s v="515-A"/>
        <s v="SET-DRAGON-D"/>
        <s v="342-D"/>
        <s v="449-D"/>
        <s v="HIM-SWL-275-1-V-D"/>
        <s v="HIM-SWL-275-1-V-BL"/>
        <s v="HIM-SWL-375-1-D"/>
        <s v="HIM-SWL-375-1-BL"/>
        <s v="HIM-SWL-275-2-V-D"/>
        <s v="HIM-SWL-275-2-V-BL"/>
        <s v="HIM-SWL-375-2-D"/>
        <s v="HIM-SWL-375-2-BL"/>
        <s v="518-D"/>
        <s v="518-A"/>
        <s v="517-D"/>
        <s v="517-A"/>
        <n v="571"/>
        <s v="373-MD"/>
        <s v="820-E27-SET"/>
        <n v="304"/>
        <n v="310"/>
        <s v="300-TD"/>
        <s v="371-MD"/>
        <s v="381-D"/>
        <s v="221-TFHD"/>
        <s v="512-A"/>
        <s v="595-H-BC"/>
        <s v="595-D-BC"/>
        <s v="635-D"/>
        <s v="635-A"/>
        <s v="342-BL"/>
        <s v="449-BL"/>
        <s v="R-980"/>
        <s v="285-THD"/>
        <s v="225-THFD"/>
        <s v="281-THRD"/>
        <m/>
      </sharedItems>
    </cacheField>
    <cacheField name="Desciption" numFmtId="0">
      <sharedItems containsBlank="1" count="339">
        <s v="Wooden Ventilation Louver Circle w/ Metallic Black (Ø)170mm, Black"/>
        <s v="Wooden Ventilation Louver Circle w/ Metallic Black (Ø)170mm, Cedar"/>
        <s v="Wooden Curve Light 364mm Set, Cedar, PEFC certified"/>
        <s v="Wooden Curve Light 610 Set, Cedar"/>
        <s v="Wooden Curve Light 237 Set, Cedar"/>
        <s v="Wooden Pail 4L, Cedar, PEFC certified"/>
        <s v="Wooden Ladle Standard 42cm, Cedar, PEFC certified"/>
        <s v=" Wooden Ventilation Louver Square 18x167.5x215mm, Cedar"/>
        <s v="Wooden Handle Straight 36x900mm, Cedar"/>
        <s v=" Wooden Sandtimer Tag 65x343mm, Cedar, PEFC certified"/>
        <s v="Thermo-Hygrometer Cut Corner Rectangle 240x130mm, Cedar, PEFC certified"/>
        <s v="Wooden Pillow Straight Curve 370x295mm, Cedar"/>
        <s v="Thermometer Circle Ø135xH30mm, Cedar"/>
        <s v="Vertical Handle (Metal Accent) Cedar"/>
        <s v="Signage - Sauna Warning: Don't Throw Too Much Water, Hemlock"/>
        <s v="Signage - Guidelines for Using Sauna &amp; Steam, Hemlock"/>
        <s v=" Sawo Door Handle Cedar Magnetic (734/735) "/>
        <s v="Sawo Door Handle Magnetic Cedar"/>
        <s v="Wooden Heater Guard for NRN, Cedar, PEFC certified"/>
        <s v="Wooden Handle Metallic 36x900mm, Cedar"/>
        <s v="Wooden Heater Guard for HES, Cedar"/>
        <s v="Wooden Pail Rattan with Stainless Insert 3L, Cedar, PEFC certified"/>
        <s v="Stainless Steel Ladle Usva 42cm, Cedar"/>
        <s v="Thermo-Hygrometer w/ 2 Accent Stone 252x135mm, Cedar, PEFC certified"/>
        <s v="Wooden Sandtimer Stone Accent 65x340mm, Cedar, PEFC certified"/>
        <s v="Eucalyptus Scent 4 liters"/>
        <s v=" Wooden Sandtimer 67x340mm, Cedar, PEFC certified"/>
        <s v="Wooden Ladle Standard 52cm, Cedar"/>
        <s v="Wooden Coaster/Bottle Opener Set 6pcs, Cedar"/>
        <s v="Rectangular Interface Holder for 2.0, Cedar, PEFC certified"/>
        <s v="Wooden Ladle Standard 68cm, Cedar"/>
        <s v="Wooden Pail Rattan 4L, Cedar"/>
        <s v="Wooden Heater Guard for TH2–TH3 Wall, Cedar"/>
        <s v="Stainless Steel Ladle Small Cup 41cm, Cedar, PEFC certified"/>
        <s v="Vertical Handle (Metal Accent) Hemlock"/>
        <s v=" Sauna Air Ventilation Louver Circular Hemlock"/>
        <s v="Sauna Air Ventilation Hemlock 140 x 220mm (for sauna room)"/>
        <s v="559 - Vertical Handle (110mm Bolt), Cedar"/>
        <s v="Wooden Pillow Wave 275x295mm, Cedar, PEFC certified"/>
        <s v="Wooden Hook Rack (5 Hooks) 440x42mm, Cedar, PEFC certified"/>
        <s v="Sauna Room - Infrared Panel 3 with Frame (Cedar)"/>
        <s v="Sauna Room - Infrared Panel 2 with Frame (Cedar)"/>
        <s v="Wooden Heater Guard for TH4–TH5 Wall, Cedar, PEFC certified"/>
        <s v="Wooden Sandtimer Classic 65×340mm, Cedar, PEFC Certified"/>
        <s v="Wooden Pail Triangular 4L, Cedar, PEFC Certified"/>
        <s v="Pail Shower 18L, Cedar, PEFC certified"/>
        <s v="Wooden Signage SAUNA 150x80mm, Hemlock, PEFC certified"/>
        <s v="KIVISTONE Candle Holder Tower 60mm"/>
        <s v="Wooden Hook Rack (4 Hooks) 340x42mm, Cedar, PEFC certified"/>
        <s v="KIVISTONE Luxury Rounded Aroma Cup (Ø)50mm"/>
        <s v="Wooden Backrest Curve 396x515mm, Cedar, PEFC certified"/>
        <s v="Wooden Siro Sauna Bench (L)850x(W)280x(H)420mm, Cedar, PEFC certified"/>
        <s v="KIVISTONE Aroma Spirit Cup (L)75x(W)75x(H)120mm"/>
        <s v="Wooden Ladle Standard 42cm, Hemlock, PEFC certified"/>
        <s v=" Wooden Pail 4L, Hemlock, PEFC certified"/>
        <s v="Thermo-Hygrometer Cut Corner Rectangle 240x130mm, Hemlock, PEFC certified"/>
        <s v="Wooden Sandtimer Tag 65x343mm, Hemlock, PEFC certified"/>
        <s v="Infrared Panel 1H.E, Cedar"/>
        <s v="Wooden Pillow HaLu 180x230mm, Cedar"/>
        <s v="Wooden Handle Round Ø91mm, Hemlock"/>
        <s v="Wooden Backrest Spinal 346×888mm, Aspen"/>
        <s v="Thermo-Hygrometer Rectangle 255×140mm, Aspen"/>
        <s v="Wooden Sandtimer Economy Pine"/>
        <s v="Wooden Light Cover Curved Stripes 169x264mm, Aspen"/>
        <s v=" Wooden Ladle Standard 36cm, Hemlock, PEFC certified"/>
        <s v="Wooden Sandtimer 67x340mm, Aspen"/>
        <s v="Wooden Pail 4L, Basic Pine"/>
        <s v="Thermo-Hygrometer Square 180×180mm, Aspen"/>
        <s v="Thermo-Hygrometer Rectangle 255×140mm, Cedar"/>
        <s v="Wooden Sandtimer 67x340mm, Black"/>
        <s v="Wooden Ventilation Louver Square 18x167.5x215mm, Hemlock"/>
        <s v="Wooden Ventilation Louver Circle w/ Metal (Ø)145mm, Hemlock"/>
        <s v="Sauna Light Cover - Vertical (W)150x(H)110, Hemlock"/>
        <s v="Wooden Sandtimer Basic 45x300mm, Hemlock, PEFC certified"/>
        <s v="Wooden Light Cover Curved Stripes 169x264mm, Cedar"/>
        <s v=" Wooden Handle Metallic 36x900mm, Black"/>
        <s v="Accessories Set Luxury, Black"/>
        <s v="KIVISTONE Aroma Cup (Ø)50mm"/>
        <s v="Box Type with cover, T/H Square Dial Plate, Black"/>
        <s v=" Wooden Ladle Puro 51cm, Black"/>
        <s v="Wooden Sandtimer Kanto 65x340mm, Black"/>
        <s v="Wooden Sauna Guidelines (L)135x(W)135mm, Hemlock, PEFC certified"/>
        <s v=" Eucalyptus Scent 250ML"/>
        <s v=" Wooden Pail Kanto 4L, Black"/>
        <s v=" Accessory Set Signature, Cedar, PEFC certified"/>
        <s v="Thermo-Hygrometer Square 180×180mm, Cedar"/>
        <s v=" Wooden Ladle Puro 51cm, Cedar, PEFC certified"/>
        <s v=" Wooden Sandtimer Kanto 65x340mm, Cedar, PEFC certified"/>
        <s v=" Wooden Pail Kanto 4L, Cedar , PEFC Certified"/>
        <s v=" Thermometer °F Cut Corner Square 136x136mm, Cedar"/>
        <s v="Thermometer °F Cut Corner Square 140x140mm, Aspen"/>
        <s v="Wooden Handle Vertical CANADA, Cedar"/>
        <s v=" Vertical Handle (Metal Accent) Black"/>
        <s v="Accessory Set Essential, Cedar, PEFC certified"/>
        <s v="Wooden Ladle Standard 36cm, Cedar, PEFC certified"/>
        <s v="Wooden Light Cover Stripes 181x320mm, Cedar"/>
        <s v="Wooden Curve Light 240mm Set, Cedar"/>
        <s v="Accessory Set Basic, Hemlock, PEFC certified"/>
        <s v="Accessory Set Traditional, Cedar"/>
        <s v="  Wooden Sandtimer Basic 45x300mm, Cedar, PEFC certified "/>
        <s v=" Thermometer Cut Corner Square 136x136mm, Cedar, PEFC certified"/>
        <s v="Wooden Pail Basic 4L, Cedar, PEFC certified"/>
        <s v="Wooden Heater Guard for TH9 Wall, Hemlock"/>
        <s v="Wooden Handle Straight 36x900mm, Black"/>
        <s v="Infrared Warning Signage, Hemlock"/>
        <s v="Infrared User Instruction, Hemlock"/>
        <s v=" Vertical Handle (Arc) Black"/>
        <s v=" Sauna Air Ventilation Louver Circular, Black"/>
        <s v="Vertical Handle (Arc) Cedar"/>
        <s v="Wooden Heater Guard for NRNS, Hemlock"/>
        <s v="Rectangular Interface Holder for 2.0, Hemlock"/>
        <s v="Thermo-Hygrometer Rectangle 255×140mm,  Hemlock"/>
        <s v="Wooden Pail Kanto 4L, Hemlock"/>
        <s v="Stainless Ladle Kanto with Wooden Handle 52cm, Hemlock"/>
        <s v="Wooden Sandtimer 67x340mm, Hemlock"/>
        <s v="Wooden Sandtimer Kanto 65x340mm, Hemlock"/>
        <s v="Wooden Ventilation Louver Circle w/ Metal (Ø)145mm, Aspen"/>
        <s v="Wooden Ventilation Louver Circle w/ Metal (Ø)145mm, Cedar"/>
        <s v="Wooden Ventilation Louver Square 18x167.5x215mm, Aspen"/>
        <s v="Wooden Ventilation Louver Circle w/ Metallic Black (Ø)145mm, Hemlock"/>
        <s v="Wooden Ventilation Louver Circle w/ Metallic Black (Ø)145mm, Aspen"/>
        <s v="Wooden Ventilation Louver Circle w/ Metallic Black (Ø)145mm, Cedar"/>
        <s v="Wooden Ventilation Louver Circle w/ Metallic Black (Ø)170mm, Hemlock"/>
        <s v="Wooden Ventilation Louver Circle w/ Metallic Black (Ø)170mm, Aspen"/>
        <s v="Accessory Set Dragon, Cedar"/>
        <s v="Wooden Pail Dragon 4L, Cedar, PEFC certified"/>
        <s v=" Stainless Ladle Dragon 50cm, Cedar, PEFC certified"/>
        <s v=" Himalayan Salt Wall – Vertical tiling, with Cedar frame, T60 x 275mm x 675mm"/>
        <s v="Himalayan Salt Wall – Vertical tiling, with Black frame, T60 x 275mm x 675mm"/>
        <s v="Himalayan Salt Wall – Block tiling, with Cedar frame, T60mm x 375mm x 675mm"/>
        <s v="Himalayan Salt Wall – Block tiling, with Black frame, T60mm x 375mm x 675mm"/>
        <s v="Himalayan Salt Wall – Vertical tiling, with Cedar frame, T60 x 275mm x 1075mm"/>
        <s v=" Himalayan Salt Wall – Vertical tiling, with Black frame, T60 x 275mm x 1075mm"/>
        <s v="Himalayan Salt Wall – Block tiling, with Cedar frame, T60mm x 375mm x 1075mm"/>
        <s v="Himalayan Salt Wall – Block tiling, with Black frame, T60mm x 375mm x 1075mm"/>
        <s v="Wooden Backrest 160x300x510mm, Cedar"/>
        <s v="Wooden Backrest 160x300x510mm, Aspen"/>
        <s v="Wooden Backrest Hi-back 180x300x950mm, Cedar, PEFC Certified"/>
        <s v="Wooden Backrest Hi-back 180x300x950mm, Aspen"/>
        <s v="Hinge Round 90x70mm, Aluminum"/>
        <s v="Stainless Steel Pail with Curve Handle 5L, Cedar"/>
        <s v="Sauna Light Set with E27 Bulb"/>
        <s v="Plastic Insert 4L"/>
        <s v="Plastic Insert 9L"/>
        <s v="Wooden Pail 9L, Cedar"/>
        <s v="Wooden Pail Rattan with Stainless Insert 5L, Cedar"/>
        <s v="Wooden Pail 18L, Cedar"/>
        <s v="Thermo °F-Hygrometer Cut Corner Rectangle 240x130mm, Cedar"/>
        <s v="Wooden Pillow HaLu 180x230mm, Aspen"/>
        <s v="Wooden Floor Mat Block 22mm, Hemlock"/>
        <s v="Wooden Floor Mat Block 22mm, Cedar"/>
        <s v="Sauna Air Ventilation Louver Square Cedar "/>
        <s v="Sauna Air Ventilation Louver Square  Aspen "/>
        <s v="Wooden Pail Dragon 4L, Black"/>
        <s v="Sauna Stones Olivine Diabase Rounded 3–10cm, 20kg"/>
        <s v="Thermo-Hygrometer Curved Square 170×175mm, Cedar"/>
        <s v="Wooden Pail Rattan 4L, Cedar, PEFC certified"/>
        <s v="Thermo-Hygrometer w/ 2 Accent Stone 160x160mm, Cedar, PEFC certified"/>
        <m/>
        <s v="Accessories Set Signature Cedar" u="1"/>
        <s v="Wooden Pail 4L, Hemlock, PEFC certified" u="1"/>
        <s v="Wooden Pail 4L, Hemlock" u="1"/>
        <s v="Wooden Curve Light 365 Set, Cedar" u="1"/>
        <s v="Wooden Pail 4L, Cedar" u="1"/>
        <s v="Wooden Ladle Standard 42cm, Cedar" u="1"/>
        <s v="Wooden Ventilation Louver Square 215x170mm, Cedar" u="1"/>
        <s v="Wooden Sandtimer Tag 65×343mm, Cedar" u="1"/>
        <s v="Thermo-Hygrometer Cut Corner Rectangle 240×130mm, Cedar" u="1"/>
        <s v="Wooden Heater Guard for NRN, Cedar" u="1"/>
        <s v="Wooden Pail Rattan with Stainless Insert 3L, Cedar" u="1"/>
        <s v="Thermo-Hygrometer w/ 2 Accent Stone 252×135mm, Cedar" u="1"/>
        <s v="Wooden Sandtimer Stone Accent 65x340mm, Cedar" u="1"/>
        <s v="Wooden Sandtimer 67×340mm, Cedar" u="1"/>
        <s v="Rectangular Interface Holder for 2.0, Cedar" u="1"/>
        <s v="Stainless Steel Ladle Small Cup 41cm, Cedar" u="1"/>
        <s v="Wooden Sandtimer Tag 65x343mm, Cedar, PEFC certified" u="1"/>
        <s v="Wooden Ladle Standard 36cm, Hemlock" u="1"/>
        <s v="Wooden Sandtimer Basic 45×300mm, Hemlock" u="1"/>
        <s v="Wooden Ladle Standard 42cm, Pinaceae" u="1"/>
        <s v=" Wooden Light Cover Curved Stripes 169x264mm, Aspen" u="1"/>
        <s v=" Wooden Handle Metallic 36x900mm, Cedar" u="1"/>
        <s v=" Accessories Set Luxury, Black" u="1"/>
        <s v="Wooden Pillow Wave 275x295mm, Black" u="1"/>
        <s v="Signage - SAUNA, Hemlock" u="1"/>
        <s v="Wooden Curve Light 364mm Set, Cedar" u="1"/>
        <s v="Accessory Set Basic, Hemlock" u="1"/>
        <s v="Accessory Set Essential, Cedar" u="1"/>
        <s v="Accessory Set Signature, Cedar" u="1"/>
        <s v="Wooden Sandtimer Tag 65x343mm, Hemlock" u="1"/>
        <s v="Wooden Sandtimer Kanto 65×340mm, Cedar" u="1"/>
        <s v="Wooden Ventilation Louver Square 18x167.5x215mm, Cedar" u="1"/>
        <s v="Wooden Pillow Wave 275x295mm, Aspen" u="1"/>
        <s v="Wooden Pillow Wave 275x295mm, Cedar" u="1"/>
        <s v=" Accessory Set Signature, Cedar" u="1"/>
        <s v="Aroma Cup" u="1"/>
        <s v="Wooden Pillow Wave Cedar" u="1"/>
        <s v="Eucalyptus Scent 250ML" u="1"/>
        <s v="Pail Shower 18L, Cedar" u="1"/>
        <s v="Wooden Sandtimer Classic 65×340mm, Cedar" u="1"/>
        <s v="Wooden Pail Dragon 4L, Cedar" u="1"/>
        <s v="Stainless Ladle Dragon 50cm, Cedar" u="1"/>
        <s v="Stainless Ladle Dragon 50cm, Black" u="1"/>
        <s v="Wooden Sandtimer 67x340mm, Cedar, PEFC certified" u="1"/>
        <s v="Wooden Sandtimer Kanto 65x340mm, Cedar, PEFC certified" u="1"/>
        <s v=" Wooden Ladle Standard 36cm, Cedar, PEFC certified" u="1"/>
        <s v=" Wooden Signage SAUNA 150x80mm, Hemlock, PEFC certified" u="1"/>
        <s v="Wooden Sandtimer Basic 45x300mm, Cedar, PEFC certified " u="1"/>
        <s v="Thermometer Cut Corner Square 136x136mm, Cedar, PEFC certified" u="1"/>
        <s v="Wooden Pail Kanto 4L, Cedar , PEFC Certified" u="1"/>
        <s v="Wooden Handle Metallic 36x900mm, Black" u="1"/>
        <s v="Set w/ SAWO Logo - Box Type with cover, T/H Square Dial Plate, Black" u="1"/>
        <s v="Wooden Pail Kanto 4L, Black" u="1"/>
        <s v="Vertical Handle (Metal Accent) Black" u="1"/>
        <s v="Sawo Door Handle Cedar Magnetic (734/735) " u="1"/>
        <s v=" Sawo Door Handle Magnetic Cedar" u="1"/>
        <s v="Wooden Sandtimer Basic 65x340mm, Hemlock, PEFC certified" u="1"/>
        <s v="Vertical Handle (Arc) Black" u="1"/>
        <s v="Sauna Air Ventilation Louver Circular, Black" u="1"/>
        <s v=" Sauna Air Ventilation Hemlock 140 x 220mm (for sauna room)" u="1"/>
        <s v=" 559 - Vertical Handle (110mm Bolt), Cedar" u="1"/>
        <s v=" Sauna Room - Infrared Panel 2 with Frame (Cedar)" u="1"/>
        <s v=" Vertical Handle (Metal Accent) Cedar" u="1"/>
        <s v=" Signage - Guidelines for Using Sauna &amp; Steam, Hemlock" u="1"/>
        <s v=" Infrared User Instruction, Hemlock" u="1"/>
        <s v="Wooden Ventilation Louver Black Ø170mm, Black" u="1"/>
        <s v=" Wooden Sandtimer Kanto 65x340mm, Black" u="1"/>
        <s v=" Set w/ SAWO Logo - Box Type with cover, T/H Square Dial Plate, Black" u="1"/>
        <s v="Pail Shower 18L, Black" u="1"/>
        <s v="Wooden Ladle Standard 42cm, Black" u="1"/>
        <s v="Wooden Ladle Puro 67cm, Cedar" u="1"/>
        <s v="Wooden Ladle Puro 67cm, Black" u="1"/>
        <s v="Wooden Ventilation Louver Circle w/ Metallic Black (Ø)145mm, Black" u="1"/>
        <s v="Accessory Set Signature, Black" u="1"/>
        <s v="Accessory Set Dragon, Black" u="1"/>
        <s v="Wooden Curve Light 240mm, Hemlock" u="1"/>
        <s v="Wooden Curve Light 364mm, Hemlock" u="1"/>
        <s v="Wooden Curve Light 614mm, Hemlock" u="1"/>
        <s v="Three-way Splitter" u="1"/>
        <s v="Transformer / Plug (US)" u="1"/>
        <s v="Silicon wire (2 meter)" u="1"/>
        <s v="Silicon wire (4 meter) (HP15-006)" u="1"/>
        <s v="Sauna Grille, Cedar" u="1"/>
        <s v=" Thermo °F-Hygrometer Rounded Rectangle 252x136mm, Cedar" u="1"/>
        <s v="Thermo-Hygrometer °F Cut Corner Rectangle 225x140mm, Cedar" u="1"/>
        <s v="Wooden Pail Rattan with Stainless Insert 2L, Cedar" u="1"/>
        <s v="Wooden Handle Standard 290x45mm, Cedar" u="1"/>
        <s v="Wooden Pail 4L, Aspen" u="1"/>
        <s v="Wooden Sandtimer Tag 65x343mm, Cedar" u="1"/>
        <s v="1 pair of Wooden Floor Mat Side Frame 22mm, Cedar" u="1"/>
        <s v="Wooden Ventilation Louver Circle w/ Metal (Ø)175mm, Aspen" u="1"/>
        <s v="Wooden Ventilation Louver Circle w/ Metal (Ø)175mm, Cedar" u="1"/>
        <s v="Wooden Clock Pail-look (Ø)260x(T)90mm, Cedar" u="1"/>
        <s v="Wooden Pail Rattan with Stainless Insert 5L, Aspen" u="1"/>
        <s v="Wooden Sauna Bench 2-Levels (L)760x(W)534x(H)562mm, Cedar" u="1"/>
        <s v="Wooden Backrest Spinal 346x888mm, Cedar" u="1"/>
        <s v="Wooden Handle Standard 290x45mm, Aspen" u="1"/>
        <s v="Box Type Rounded with cover, Thermo°F-Hygrometer Aspen" u="1"/>
        <s v="Wooden Handle Round Ø65mm, Cedar" u="1"/>
        <s v="Thermometer °F Cut Corner Square 140x140mm, Cedar" u="1"/>
        <s v="Wooden Pail Rattan with Stainless Insert 2L, Aspen" u="1"/>
        <s v="Wooden Sauna Bench (L)870x(W)500x(H)510mm, Cedar" u="1"/>
        <s v="Wooden Handle Straight Sauna Place, Cedar" u="1"/>
        <s v="Wooden Hook Rack (4 Hooks) 340x42mm, Aspen" u="1"/>
        <s v="Wooden Siro Sauna Bench (L)420x(W)280x(H)420mm, Cedar" u="1"/>
        <s v="Wooden Hook Rack (4 Hooks) 340x42mm, Cedar" u="1"/>
        <s v="Thermometer °F Engrave Circle Ø100, Cedar" u="1"/>
        <s v="Himalayan Salt Wall – Vertical tiling, with Hemlock frame, T60 x 275mm x 675mm" u="1"/>
        <s v="Himalayan Salt Wall – Vertical tiling, with Hemlock frame, T60 x 275mm x 1075mm" u="1"/>
        <s v="Himalayan Salt Wall – Block tiling, with Hemlock frame, T60mm x 375mm x 675mm" u="1"/>
        <s v="Himalayan Salt Wall – Block tiling, with Hemlock frame, T60mm x 375mm x 1075mm" u="1"/>
        <s v=" Himalayan Salt Frame Suport 604 for Vertical, Hemlock" u="1"/>
        <s v="Himalayan Salt Frame Suport 1004 for Horizontal, Hemlock" u="1"/>
        <s v=" Wooden Ladle Standard 52cm, Cedar" u="1"/>
        <s v="Thermometer °F Rattan Pail Ø230xH40mm, Cedar" u="1"/>
        <s v="Wooden Light Cover Classic (W)250x(T)75mm, Aspen" u="1"/>
        <s v="Stainless Ladle Curve Handle 45.5cm, Aspen" u="1"/>
        <s v="Wooden Ladle Standard 52cm, Aspen" u="1"/>
        <s v="Thermometer Black Metal 110×110mm, Black" u="1"/>
        <s v="Thermo-Hygrometer Cut Corner Rectangle 240×130mm, Aspen" u="1"/>
        <s v="Thermo-Hygrometer Cut Corner Rectangle 240×130mm, Hemlock" u="1"/>
        <s v="Thermo-Hygrometer Rounded Rectangle 252×136mm, Cedar" u="1"/>
        <s v="Thermo-Hygrometer Rounded Rectangle 252×136mm, Aspen" u="1"/>
        <s v="Thermo-Hygrometer Rounded Rectangle 252×136mm,  Hemlock" u="1"/>
        <s v="Wooden Sandtimer Kanto 65×340mm, Aspen" u="1"/>
        <s v="Wooden Pail Kanto 4L, Cedar" u="1"/>
        <s v="Stainless Pail with Wooden Handle 5L, Hemlock" u="1"/>
        <s v="Wooden Pail 9L, Aspen" u="1"/>
        <s v="Wooden Pail 9L, Hemlock" u="1"/>
        <s v="Wooden Pail 18L, Aspen" u="1"/>
        <s v="Pail Shower 18L, Hemlock" u="1"/>
        <s v="Wooden Ladle Puro 51cm, Cedar" u="1"/>
        <s v="Wooden Ladle Puro 51cm, Hemlock" u="1"/>
        <s v="Wooden Ladle Puro 67cm, Hemlock" u="1"/>
        <s v="Wooden Ladle Puro 81cm, Hemlock" u="1"/>
        <s v="Wooden Ladle Standard 42cm, Aspen" u="1"/>
        <s v="Wooden Ladle Standard 42cm, Hemlock" u="1"/>
        <s v="Wooden Ladle Standard 52cm, Hemlock" u="1"/>
        <s v="Wooden Ladle Standard 68cm, Aspen" u="1"/>
        <s v="Wooden Ladle Standard 68cm, Hemlock" u="1"/>
        <s v="Stainless Steel Ladle Small Cup 41cm, Aspen" u="1"/>
        <s v="Stainless Steel Ladle Small Cup 41cm,  Hemlock" u="1"/>
        <s v="Wooden Ventilation Louver Square 215x170mm, Aspen" u="1"/>
        <s v="Wooden Ventilation Louver Square 215x170mm, Hemlock" u="1"/>
        <s v="Wooden Handle Standard 290x45mm, Hemlock" u="1"/>
        <s v="Wooden Curve Light 614mm Set, Cedar" u="1"/>
        <s v="Wooden Light Cover Stripes 181x320mm, Hemlock" u="1"/>
        <s v="Wooden Light Cover Stripes 181x320mm, Aspen" u="1"/>
        <s v="Wooden Light Cover Curved Stripes 169x264mm, Hemlock" u="1"/>
        <s v="Transformer / Plug (EU)" u="1"/>
        <s v="Wooden Heater Guard for ARI3, Hemlock" u="1"/>
        <s v="Wooden Heater Guard for CUB3, Hemlock" u="1"/>
        <s v="Wooden Handle US, Cedar" u="1"/>
        <s v="Wooden Pail Lovi 4L, Black" u="1"/>
        <s v="Sauna Air Ventilation Louver Cedar US " u="1"/>
        <s v="Thermo °F-Hygrometer Octagon 175x175mm, Cedar" u="1"/>
        <s v="Wooden Backrest Spinal 346×888mm, Cedar" u="1"/>
        <s v="Wooden Handle Arc 40x900mm, Cedar" u="1"/>
        <s v="Wooden Pillow Rounded Curve 370x295mm, Cedar" u="1"/>
        <s v="Wooden Ladle (68cm) Cedar" u="1"/>
        <s v="Stainless Steel Ladle Siro 46.5cm, Cedar" u="1"/>
        <s v="Stainless Steel Ladle Siro 70.5cm, Cedar" u="1"/>
        <s v="Wooden Pail Lovi 4L, Hemlock" u="1"/>
        <s v="Wooden Pail Rattan 9L, Cedar" u="1"/>
        <s v="Thermometer °F Cut Corner Square 136x136mm, Cedar" u="1"/>
        <s v="Thermo °F-Hygrometer Rectangle 255x140mm, Cedar" u="1"/>
        <s v="Thermo °F-Hygrometer Basic Curved Rectangle 240x125mm, Cedar" u="1"/>
        <s v="Wooden Backrest Curve 396×515mm, Cedar" u="1"/>
        <s v="Wooden Light Cover Rods, Cedar" u="1"/>
        <s v="Wooden Hook Rack (5 Hooks) 440x42mm, Cedar" u="1"/>
        <s v="Air Ventilation Cover Circular (Ø)160mm, Metallic Brown" u="1"/>
        <s v="Wooden Ventilation Cover Circular (Ø)160mm, Cedar" u="1"/>
        <s v="Air Ventilation Cover Circular Set, Metallic Brown &amp; Cedar (Ø)160" u="1"/>
        <s v="Thermo-Hygrometer Square 180×180mm, Black" u="1"/>
        <s v="Forest Fresh Scent 500ML" u="1"/>
        <s v="Eucalyptus Scent 500ML" u="1"/>
        <s v="Wooden Pail Rattan 4L, Aspen" u="1"/>
        <s v="Thermo-Hygrometer w/ 2 Accent Stone 160×160mm, Cedar" u="1"/>
        <s v="Wooden Sandtimer Stone Accent 65x340mm, Hemlock" u="1"/>
        <s v="Infrared Panel 2H.E, Cedar" u="1"/>
      </sharedItems>
    </cacheField>
    <cacheField name="Qty" numFmtId="0">
      <sharedItems containsString="0" containsBlank="1" containsNumber="1" containsInteger="1" minValue="1" maxValue="2000"/>
    </cacheField>
    <cacheField name="Completion Date: " numFmtId="0">
      <sharedItems containsNonDate="0" containsDate="1" containsBlank="1" containsMixedTypes="1" minDate="2026-09-09T00:00:00" maxDate="2026-11-14T00:00:00" count="16">
        <s v="TBA"/>
        <d v="2026-10-21T00:00:00"/>
        <d v="2026-10-25T00:00:00"/>
        <d v="2026-10-29T00:00:00"/>
        <d v="2026-10-30T00:00:00"/>
        <d v="2026-11-06T00:00:00"/>
        <d v="2026-11-13T00:00:00"/>
        <d v="2026-10-24T00:00:00"/>
        <m/>
        <d v="2026-10-26T00:00:00" u="1"/>
        <d v="2026-09-23T00:00:00" u="1"/>
        <d v="2026-09-25T00:00:00" u="1"/>
        <d v="2026-09-11T00:00:00" u="1"/>
        <d v="2026-09-09T00:00:00" u="1"/>
        <d v="2026-09-16T00:00:00" u="1"/>
        <d v="2026-09-10T00:00:00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  <x v="0"/>
    <x v="0"/>
    <n v="24"/>
    <x v="0"/>
  </r>
  <r>
    <x v="1"/>
    <x v="1"/>
    <x v="0"/>
    <x v="0"/>
    <n v="16"/>
    <x v="0"/>
  </r>
  <r>
    <x v="1"/>
    <x v="1"/>
    <x v="1"/>
    <x v="1"/>
    <n v="32"/>
    <x v="0"/>
  </r>
  <r>
    <x v="2"/>
    <x v="2"/>
    <x v="2"/>
    <x v="2"/>
    <n v="38"/>
    <x v="0"/>
  </r>
  <r>
    <x v="2"/>
    <x v="2"/>
    <x v="3"/>
    <x v="3"/>
    <n v="59"/>
    <x v="0"/>
  </r>
  <r>
    <x v="2"/>
    <x v="3"/>
    <x v="4"/>
    <x v="4"/>
    <n v="48"/>
    <x v="0"/>
  </r>
  <r>
    <x v="3"/>
    <x v="4"/>
    <x v="5"/>
    <x v="5"/>
    <n v="36"/>
    <x v="1"/>
  </r>
  <r>
    <x v="3"/>
    <x v="4"/>
    <x v="6"/>
    <x v="6"/>
    <n v="36"/>
    <x v="1"/>
  </r>
  <r>
    <x v="3"/>
    <x v="4"/>
    <x v="7"/>
    <x v="7"/>
    <n v="32"/>
    <x v="1"/>
  </r>
  <r>
    <x v="3"/>
    <x v="4"/>
    <x v="8"/>
    <x v="8"/>
    <n v="10"/>
    <x v="1"/>
  </r>
  <r>
    <x v="3"/>
    <x v="4"/>
    <x v="6"/>
    <x v="6"/>
    <n v="17"/>
    <x v="1"/>
  </r>
  <r>
    <x v="3"/>
    <x v="4"/>
    <x v="5"/>
    <x v="5"/>
    <n v="17"/>
    <x v="1"/>
  </r>
  <r>
    <x v="3"/>
    <x v="4"/>
    <x v="9"/>
    <x v="9"/>
    <n v="17"/>
    <x v="1"/>
  </r>
  <r>
    <x v="3"/>
    <x v="4"/>
    <x v="10"/>
    <x v="10"/>
    <n v="17"/>
    <x v="1"/>
  </r>
  <r>
    <x v="3"/>
    <x v="4"/>
    <x v="11"/>
    <x v="11"/>
    <n v="14"/>
    <x v="1"/>
  </r>
  <r>
    <x v="3"/>
    <x v="4"/>
    <x v="12"/>
    <x v="12"/>
    <n v="34"/>
    <x v="1"/>
  </r>
  <r>
    <x v="3"/>
    <x v="4"/>
    <x v="13"/>
    <x v="13"/>
    <n v="15"/>
    <x v="1"/>
  </r>
  <r>
    <x v="3"/>
    <x v="4"/>
    <x v="14"/>
    <x v="14"/>
    <n v="18"/>
    <x v="1"/>
  </r>
  <r>
    <x v="3"/>
    <x v="4"/>
    <x v="15"/>
    <x v="15"/>
    <n v="18"/>
    <x v="1"/>
  </r>
  <r>
    <x v="3"/>
    <x v="4"/>
    <x v="16"/>
    <x v="16"/>
    <n v="4"/>
    <x v="1"/>
  </r>
  <r>
    <x v="3"/>
    <x v="4"/>
    <x v="17"/>
    <x v="17"/>
    <n v="3"/>
    <x v="1"/>
  </r>
  <r>
    <x v="4"/>
    <x v="5"/>
    <x v="18"/>
    <x v="18"/>
    <n v="1"/>
    <x v="2"/>
  </r>
  <r>
    <x v="4"/>
    <x v="5"/>
    <x v="19"/>
    <x v="19"/>
    <n v="1"/>
    <x v="2"/>
  </r>
  <r>
    <x v="4"/>
    <x v="5"/>
    <x v="20"/>
    <x v="20"/>
    <n v="1"/>
    <x v="2"/>
  </r>
  <r>
    <x v="4"/>
    <x v="5"/>
    <x v="21"/>
    <x v="21"/>
    <n v="1"/>
    <x v="2"/>
  </r>
  <r>
    <x v="4"/>
    <x v="5"/>
    <x v="22"/>
    <x v="22"/>
    <n v="1"/>
    <x v="2"/>
  </r>
  <r>
    <x v="4"/>
    <x v="5"/>
    <x v="23"/>
    <x v="23"/>
    <n v="1"/>
    <x v="2"/>
  </r>
  <r>
    <x v="4"/>
    <x v="5"/>
    <x v="24"/>
    <x v="24"/>
    <n v="1"/>
    <x v="2"/>
  </r>
  <r>
    <x v="4"/>
    <x v="5"/>
    <x v="25"/>
    <x v="25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13"/>
    <x v="13"/>
    <n v="1"/>
    <x v="2"/>
  </r>
  <r>
    <x v="4"/>
    <x v="5"/>
    <x v="26"/>
    <x v="26"/>
    <n v="1"/>
    <x v="2"/>
  </r>
  <r>
    <x v="4"/>
    <x v="5"/>
    <x v="10"/>
    <x v="10"/>
    <n v="1"/>
    <x v="2"/>
  </r>
  <r>
    <x v="4"/>
    <x v="5"/>
    <x v="5"/>
    <x v="5"/>
    <n v="1"/>
    <x v="2"/>
  </r>
  <r>
    <x v="4"/>
    <x v="5"/>
    <x v="27"/>
    <x v="27"/>
    <n v="1"/>
    <x v="2"/>
  </r>
  <r>
    <x v="4"/>
    <x v="5"/>
    <x v="25"/>
    <x v="25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13"/>
    <x v="13"/>
    <n v="1"/>
    <x v="2"/>
  </r>
  <r>
    <x v="4"/>
    <x v="5"/>
    <x v="28"/>
    <x v="28"/>
    <n v="10"/>
    <x v="2"/>
  </r>
  <r>
    <x v="4"/>
    <x v="5"/>
    <x v="29"/>
    <x v="29"/>
    <n v="1"/>
    <x v="2"/>
  </r>
  <r>
    <x v="4"/>
    <x v="5"/>
    <x v="25"/>
    <x v="25"/>
    <n v="1"/>
    <x v="2"/>
  </r>
  <r>
    <x v="4"/>
    <x v="5"/>
    <x v="30"/>
    <x v="30"/>
    <n v="2"/>
    <x v="2"/>
  </r>
  <r>
    <x v="4"/>
    <x v="5"/>
    <x v="31"/>
    <x v="31"/>
    <n v="1"/>
    <x v="2"/>
  </r>
  <r>
    <x v="4"/>
    <x v="5"/>
    <x v="23"/>
    <x v="23"/>
    <n v="1"/>
    <x v="2"/>
  </r>
  <r>
    <x v="4"/>
    <x v="5"/>
    <x v="24"/>
    <x v="24"/>
    <n v="1"/>
    <x v="2"/>
  </r>
  <r>
    <x v="4"/>
    <x v="5"/>
    <x v="32"/>
    <x v="32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13"/>
    <x v="13"/>
    <n v="1"/>
    <x v="2"/>
  </r>
  <r>
    <x v="4"/>
    <x v="5"/>
    <x v="21"/>
    <x v="21"/>
    <n v="1"/>
    <x v="2"/>
  </r>
  <r>
    <x v="4"/>
    <x v="5"/>
    <x v="33"/>
    <x v="33"/>
    <n v="1"/>
    <x v="2"/>
  </r>
  <r>
    <x v="4"/>
    <x v="5"/>
    <x v="23"/>
    <x v="23"/>
    <n v="1"/>
    <x v="2"/>
  </r>
  <r>
    <x v="4"/>
    <x v="5"/>
    <x v="24"/>
    <x v="24"/>
    <n v="1"/>
    <x v="2"/>
  </r>
  <r>
    <x v="4"/>
    <x v="5"/>
    <x v="25"/>
    <x v="25"/>
    <n v="2"/>
    <x v="2"/>
  </r>
  <r>
    <x v="4"/>
    <x v="5"/>
    <x v="11"/>
    <x v="11"/>
    <n v="1"/>
    <x v="2"/>
  </r>
  <r>
    <x v="4"/>
    <x v="5"/>
    <x v="34"/>
    <x v="34"/>
    <n v="1"/>
    <x v="2"/>
  </r>
  <r>
    <x v="4"/>
    <x v="5"/>
    <x v="35"/>
    <x v="35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36"/>
    <x v="36"/>
    <n v="1"/>
    <x v="2"/>
  </r>
  <r>
    <x v="4"/>
    <x v="5"/>
    <x v="29"/>
    <x v="29"/>
    <n v="1"/>
    <x v="2"/>
  </r>
  <r>
    <x v="4"/>
    <x v="5"/>
    <x v="24"/>
    <x v="24"/>
    <n v="1"/>
    <x v="2"/>
  </r>
  <r>
    <x v="4"/>
    <x v="5"/>
    <x v="23"/>
    <x v="23"/>
    <n v="1"/>
    <x v="2"/>
  </r>
  <r>
    <x v="4"/>
    <x v="5"/>
    <x v="21"/>
    <x v="21"/>
    <n v="1"/>
    <x v="2"/>
  </r>
  <r>
    <x v="4"/>
    <x v="5"/>
    <x v="33"/>
    <x v="33"/>
    <n v="1"/>
    <x v="2"/>
  </r>
  <r>
    <x v="4"/>
    <x v="5"/>
    <x v="25"/>
    <x v="25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13"/>
    <x v="13"/>
    <n v="1"/>
    <x v="2"/>
  </r>
  <r>
    <x v="4"/>
    <x v="5"/>
    <x v="18"/>
    <x v="18"/>
    <n v="1"/>
    <x v="2"/>
  </r>
  <r>
    <x v="4"/>
    <x v="5"/>
    <x v="29"/>
    <x v="29"/>
    <n v="1"/>
    <x v="2"/>
  </r>
  <r>
    <x v="4"/>
    <x v="5"/>
    <x v="25"/>
    <x v="25"/>
    <n v="1"/>
    <x v="2"/>
  </r>
  <r>
    <x v="4"/>
    <x v="5"/>
    <x v="10"/>
    <x v="10"/>
    <n v="1"/>
    <x v="2"/>
  </r>
  <r>
    <x v="4"/>
    <x v="5"/>
    <x v="9"/>
    <x v="9"/>
    <n v="1"/>
    <x v="2"/>
  </r>
  <r>
    <x v="4"/>
    <x v="5"/>
    <x v="5"/>
    <x v="5"/>
    <n v="1"/>
    <x v="2"/>
  </r>
  <r>
    <x v="4"/>
    <x v="5"/>
    <x v="6"/>
    <x v="6"/>
    <n v="1"/>
    <x v="2"/>
  </r>
  <r>
    <x v="4"/>
    <x v="5"/>
    <x v="37"/>
    <x v="37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29"/>
    <x v="29"/>
    <n v="1"/>
    <x v="2"/>
  </r>
  <r>
    <x v="4"/>
    <x v="5"/>
    <x v="23"/>
    <x v="23"/>
    <n v="1"/>
    <x v="2"/>
  </r>
  <r>
    <x v="4"/>
    <x v="5"/>
    <x v="24"/>
    <x v="24"/>
    <n v="1"/>
    <x v="2"/>
  </r>
  <r>
    <x v="4"/>
    <x v="5"/>
    <x v="21"/>
    <x v="21"/>
    <n v="1"/>
    <x v="2"/>
  </r>
  <r>
    <x v="4"/>
    <x v="5"/>
    <x v="33"/>
    <x v="33"/>
    <n v="1"/>
    <x v="2"/>
  </r>
  <r>
    <x v="4"/>
    <x v="5"/>
    <x v="25"/>
    <x v="25"/>
    <n v="1"/>
    <x v="2"/>
  </r>
  <r>
    <x v="4"/>
    <x v="5"/>
    <x v="38"/>
    <x v="38"/>
    <n v="1"/>
    <x v="2"/>
  </r>
  <r>
    <x v="4"/>
    <x v="5"/>
    <x v="39"/>
    <x v="39"/>
    <n v="1"/>
    <x v="2"/>
  </r>
  <r>
    <x v="4"/>
    <x v="5"/>
    <x v="40"/>
    <x v="40"/>
    <n v="1"/>
    <x v="2"/>
  </r>
  <r>
    <x v="4"/>
    <x v="5"/>
    <x v="41"/>
    <x v="41"/>
    <n v="3"/>
    <x v="2"/>
  </r>
  <r>
    <x v="4"/>
    <x v="5"/>
    <x v="42"/>
    <x v="42"/>
    <n v="1"/>
    <x v="2"/>
  </r>
  <r>
    <x v="4"/>
    <x v="5"/>
    <x v="29"/>
    <x v="29"/>
    <n v="1"/>
    <x v="2"/>
  </r>
  <r>
    <x v="4"/>
    <x v="5"/>
    <x v="25"/>
    <x v="25"/>
    <n v="1"/>
    <x v="2"/>
  </r>
  <r>
    <x v="4"/>
    <x v="5"/>
    <x v="10"/>
    <x v="10"/>
    <n v="1"/>
    <x v="2"/>
  </r>
  <r>
    <x v="4"/>
    <x v="5"/>
    <x v="43"/>
    <x v="43"/>
    <n v="1"/>
    <x v="2"/>
  </r>
  <r>
    <x v="4"/>
    <x v="5"/>
    <x v="44"/>
    <x v="44"/>
    <n v="1"/>
    <x v="2"/>
  </r>
  <r>
    <x v="4"/>
    <x v="5"/>
    <x v="6"/>
    <x v="6"/>
    <n v="1"/>
    <x v="2"/>
  </r>
  <r>
    <x v="4"/>
    <x v="5"/>
    <x v="45"/>
    <x v="45"/>
    <n v="1"/>
    <x v="2"/>
  </r>
  <r>
    <x v="4"/>
    <x v="5"/>
    <x v="46"/>
    <x v="46"/>
    <n v="1"/>
    <x v="2"/>
  </r>
  <r>
    <x v="4"/>
    <x v="5"/>
    <x v="47"/>
    <x v="47"/>
    <n v="1"/>
    <x v="2"/>
  </r>
  <r>
    <x v="4"/>
    <x v="5"/>
    <x v="48"/>
    <x v="48"/>
    <n v="1"/>
    <x v="2"/>
  </r>
  <r>
    <x v="4"/>
    <x v="5"/>
    <x v="49"/>
    <x v="49"/>
    <n v="1"/>
    <x v="2"/>
  </r>
  <r>
    <x v="4"/>
    <x v="5"/>
    <x v="50"/>
    <x v="50"/>
    <n v="1"/>
    <x v="2"/>
  </r>
  <r>
    <x v="4"/>
    <x v="5"/>
    <x v="51"/>
    <x v="51"/>
    <n v="1"/>
    <x v="2"/>
  </r>
  <r>
    <x v="4"/>
    <x v="5"/>
    <x v="52"/>
    <x v="52"/>
    <n v="1"/>
    <x v="2"/>
  </r>
  <r>
    <x v="4"/>
    <x v="5"/>
    <x v="37"/>
    <x v="37"/>
    <n v="1"/>
    <x v="2"/>
  </r>
  <r>
    <x v="4"/>
    <x v="5"/>
    <x v="14"/>
    <x v="14"/>
    <n v="1"/>
    <x v="2"/>
  </r>
  <r>
    <x v="4"/>
    <x v="5"/>
    <x v="15"/>
    <x v="15"/>
    <n v="1"/>
    <x v="2"/>
  </r>
  <r>
    <x v="4"/>
    <x v="5"/>
    <x v="29"/>
    <x v="29"/>
    <n v="1"/>
    <x v="2"/>
  </r>
  <r>
    <x v="4"/>
    <x v="5"/>
    <x v="24"/>
    <x v="24"/>
    <n v="1"/>
    <x v="2"/>
  </r>
  <r>
    <x v="4"/>
    <x v="5"/>
    <x v="23"/>
    <x v="23"/>
    <n v="1"/>
    <x v="2"/>
  </r>
  <r>
    <x v="4"/>
    <x v="5"/>
    <x v="33"/>
    <x v="33"/>
    <n v="1"/>
    <x v="2"/>
  </r>
  <r>
    <x v="4"/>
    <x v="5"/>
    <x v="21"/>
    <x v="21"/>
    <n v="1"/>
    <x v="2"/>
  </r>
  <r>
    <x v="4"/>
    <x v="5"/>
    <x v="25"/>
    <x v="25"/>
    <n v="1"/>
    <x v="2"/>
  </r>
  <r>
    <x v="4"/>
    <x v="5"/>
    <x v="39"/>
    <x v="39"/>
    <n v="1"/>
    <x v="2"/>
  </r>
  <r>
    <x v="4"/>
    <x v="5"/>
    <x v="21"/>
    <x v="21"/>
    <n v="1"/>
    <x v="2"/>
  </r>
  <r>
    <x v="4"/>
    <x v="5"/>
    <x v="33"/>
    <x v="33"/>
    <n v="1"/>
    <x v="2"/>
  </r>
  <r>
    <x v="4"/>
    <x v="5"/>
    <x v="23"/>
    <x v="23"/>
    <n v="1"/>
    <x v="2"/>
  </r>
  <r>
    <x v="4"/>
    <x v="5"/>
    <x v="24"/>
    <x v="24"/>
    <n v="1"/>
    <x v="2"/>
  </r>
  <r>
    <x v="4"/>
    <x v="5"/>
    <x v="25"/>
    <x v="25"/>
    <n v="1"/>
    <x v="2"/>
  </r>
  <r>
    <x v="4"/>
    <x v="5"/>
    <x v="29"/>
    <x v="29"/>
    <n v="1"/>
    <x v="2"/>
  </r>
  <r>
    <x v="4"/>
    <x v="5"/>
    <x v="53"/>
    <x v="53"/>
    <n v="1"/>
    <x v="2"/>
  </r>
  <r>
    <x v="4"/>
    <x v="5"/>
    <x v="54"/>
    <x v="54"/>
    <n v="1"/>
    <x v="2"/>
  </r>
  <r>
    <x v="4"/>
    <x v="5"/>
    <x v="55"/>
    <x v="55"/>
    <n v="1"/>
    <x v="2"/>
  </r>
  <r>
    <x v="4"/>
    <x v="5"/>
    <x v="56"/>
    <x v="56"/>
    <n v="1"/>
    <x v="2"/>
  </r>
  <r>
    <x v="4"/>
    <x v="5"/>
    <x v="25"/>
    <x v="25"/>
    <n v="1"/>
    <x v="2"/>
  </r>
  <r>
    <x v="5"/>
    <x v="6"/>
    <x v="57"/>
    <x v="57"/>
    <n v="200"/>
    <x v="3"/>
  </r>
  <r>
    <x v="6"/>
    <x v="7"/>
    <x v="58"/>
    <x v="58"/>
    <n v="500"/>
    <x v="4"/>
  </r>
  <r>
    <x v="6"/>
    <x v="7"/>
    <x v="59"/>
    <x v="59"/>
    <n v="200"/>
    <x v="4"/>
  </r>
  <r>
    <x v="6"/>
    <x v="7"/>
    <x v="60"/>
    <x v="60"/>
    <n v="200"/>
    <x v="4"/>
  </r>
  <r>
    <x v="6"/>
    <x v="7"/>
    <x v="61"/>
    <x v="61"/>
    <n v="200"/>
    <x v="4"/>
  </r>
  <r>
    <x v="6"/>
    <x v="7"/>
    <x v="62"/>
    <x v="62"/>
    <n v="420"/>
    <x v="4"/>
  </r>
  <r>
    <x v="6"/>
    <x v="7"/>
    <x v="63"/>
    <x v="63"/>
    <n v="200"/>
    <x v="4"/>
  </r>
  <r>
    <x v="6"/>
    <x v="7"/>
    <x v="64"/>
    <x v="64"/>
    <n v="2000"/>
    <x v="4"/>
  </r>
  <r>
    <x v="6"/>
    <x v="7"/>
    <x v="65"/>
    <x v="65"/>
    <n v="150"/>
    <x v="4"/>
  </r>
  <r>
    <x v="6"/>
    <x v="7"/>
    <x v="66"/>
    <x v="66"/>
    <n v="293"/>
    <x v="4"/>
  </r>
  <r>
    <x v="6"/>
    <x v="7"/>
    <x v="67"/>
    <x v="67"/>
    <n v="100"/>
    <x v="4"/>
  </r>
  <r>
    <x v="6"/>
    <x v="7"/>
    <x v="68"/>
    <x v="68"/>
    <n v="100"/>
    <x v="4"/>
  </r>
  <r>
    <x v="6"/>
    <x v="7"/>
    <x v="69"/>
    <x v="69"/>
    <n v="250"/>
    <x v="4"/>
  </r>
  <r>
    <x v="6"/>
    <x v="7"/>
    <x v="70"/>
    <x v="70"/>
    <n v="150"/>
    <x v="4"/>
  </r>
  <r>
    <x v="6"/>
    <x v="7"/>
    <x v="71"/>
    <x v="71"/>
    <n v="400"/>
    <x v="4"/>
  </r>
  <r>
    <x v="6"/>
    <x v="7"/>
    <x v="72"/>
    <x v="72"/>
    <n v="150"/>
    <x v="4"/>
  </r>
  <r>
    <x v="6"/>
    <x v="7"/>
    <x v="73"/>
    <x v="73"/>
    <n v="1580"/>
    <x v="4"/>
  </r>
  <r>
    <x v="6"/>
    <x v="7"/>
    <x v="54"/>
    <x v="54"/>
    <n v="1707"/>
    <x v="4"/>
  </r>
  <r>
    <x v="7"/>
    <x v="8"/>
    <x v="54"/>
    <x v="54"/>
    <n v="300"/>
    <x v="5"/>
  </r>
  <r>
    <x v="7"/>
    <x v="8"/>
    <x v="53"/>
    <x v="53"/>
    <n v="300"/>
    <x v="5"/>
  </r>
  <r>
    <x v="7"/>
    <x v="8"/>
    <x v="7"/>
    <x v="7"/>
    <n v="350"/>
    <x v="5"/>
  </r>
  <r>
    <x v="7"/>
    <x v="8"/>
    <x v="74"/>
    <x v="74"/>
    <n v="100"/>
    <x v="5"/>
  </r>
  <r>
    <x v="7"/>
    <x v="8"/>
    <x v="63"/>
    <x v="63"/>
    <n v="10"/>
    <x v="5"/>
  </r>
  <r>
    <x v="7"/>
    <x v="8"/>
    <x v="75"/>
    <x v="75"/>
    <n v="10"/>
    <x v="5"/>
  </r>
  <r>
    <x v="7"/>
    <x v="8"/>
    <x v="19"/>
    <x v="19"/>
    <n v="30"/>
    <x v="5"/>
  </r>
  <r>
    <x v="7"/>
    <x v="8"/>
    <x v="76"/>
    <x v="76"/>
    <n v="25"/>
    <x v="5"/>
  </r>
  <r>
    <x v="7"/>
    <x v="8"/>
    <x v="77"/>
    <x v="77"/>
    <n v="25"/>
    <x v="5"/>
  </r>
  <r>
    <x v="7"/>
    <x v="8"/>
    <x v="78"/>
    <x v="78"/>
    <n v="25"/>
    <x v="5"/>
  </r>
  <r>
    <x v="7"/>
    <x v="8"/>
    <x v="79"/>
    <x v="79"/>
    <n v="25"/>
    <x v="5"/>
  </r>
  <r>
    <x v="7"/>
    <x v="8"/>
    <x v="80"/>
    <x v="38"/>
    <n v="25"/>
    <x v="5"/>
  </r>
  <r>
    <x v="7"/>
    <x v="8"/>
    <x v="81"/>
    <x v="80"/>
    <n v="25"/>
    <x v="5"/>
  </r>
  <r>
    <x v="7"/>
    <x v="8"/>
    <x v="46"/>
    <x v="46"/>
    <n v="25"/>
    <x v="5"/>
  </r>
  <r>
    <x v="7"/>
    <x v="8"/>
    <x v="82"/>
    <x v="81"/>
    <n v="25"/>
    <x v="5"/>
  </r>
  <r>
    <x v="7"/>
    <x v="8"/>
    <x v="83"/>
    <x v="82"/>
    <n v="25"/>
    <x v="5"/>
  </r>
  <r>
    <x v="7"/>
    <x v="8"/>
    <x v="84"/>
    <x v="83"/>
    <n v="25"/>
    <x v="5"/>
  </r>
  <r>
    <x v="7"/>
    <x v="8"/>
    <x v="85"/>
    <x v="84"/>
    <n v="25"/>
    <x v="5"/>
  </r>
  <r>
    <x v="7"/>
    <x v="8"/>
    <x v="77"/>
    <x v="77"/>
    <n v="25"/>
    <x v="5"/>
  </r>
  <r>
    <x v="7"/>
    <x v="8"/>
    <x v="86"/>
    <x v="85"/>
    <n v="25"/>
    <x v="5"/>
  </r>
  <r>
    <x v="7"/>
    <x v="8"/>
    <x v="87"/>
    <x v="86"/>
    <n v="25"/>
    <x v="5"/>
  </r>
  <r>
    <x v="7"/>
    <x v="8"/>
    <x v="38"/>
    <x v="38"/>
    <n v="25"/>
    <x v="5"/>
  </r>
  <r>
    <x v="7"/>
    <x v="8"/>
    <x v="88"/>
    <x v="87"/>
    <n v="25"/>
    <x v="5"/>
  </r>
  <r>
    <x v="7"/>
    <x v="8"/>
    <x v="46"/>
    <x v="46"/>
    <n v="25"/>
    <x v="5"/>
  </r>
  <r>
    <x v="7"/>
    <x v="8"/>
    <x v="82"/>
    <x v="81"/>
    <n v="25"/>
    <x v="5"/>
  </r>
  <r>
    <x v="7"/>
    <x v="8"/>
    <x v="83"/>
    <x v="82"/>
    <n v="25"/>
    <x v="5"/>
  </r>
  <r>
    <x v="7"/>
    <x v="8"/>
    <x v="89"/>
    <x v="88"/>
    <n v="25"/>
    <x v="5"/>
  </r>
  <r>
    <x v="7"/>
    <x v="8"/>
    <x v="90"/>
    <x v="89"/>
    <n v="200"/>
    <x v="5"/>
  </r>
  <r>
    <x v="7"/>
    <x v="8"/>
    <x v="91"/>
    <x v="90"/>
    <n v="300"/>
    <x v="5"/>
  </r>
  <r>
    <x v="7"/>
    <x v="8"/>
    <x v="92"/>
    <x v="91"/>
    <n v="50"/>
    <x v="5"/>
  </r>
  <r>
    <x v="7"/>
    <x v="8"/>
    <x v="93"/>
    <x v="92"/>
    <n v="200"/>
    <x v="5"/>
  </r>
  <r>
    <x v="7"/>
    <x v="8"/>
    <x v="13"/>
    <x v="13"/>
    <n v="50"/>
    <x v="5"/>
  </r>
  <r>
    <x v="7"/>
    <x v="8"/>
    <x v="93"/>
    <x v="92"/>
    <n v="1"/>
    <x v="5"/>
  </r>
  <r>
    <x v="8"/>
    <x v="9"/>
    <x v="94"/>
    <x v="93"/>
    <n v="1"/>
    <x v="5"/>
  </r>
  <r>
    <x v="8"/>
    <x v="9"/>
    <x v="77"/>
    <x v="77"/>
    <n v="1"/>
    <x v="5"/>
  </r>
  <r>
    <x v="8"/>
    <x v="9"/>
    <x v="5"/>
    <x v="5"/>
    <n v="1"/>
    <x v="5"/>
  </r>
  <r>
    <x v="8"/>
    <x v="9"/>
    <x v="95"/>
    <x v="94"/>
    <n v="1"/>
    <x v="5"/>
  </r>
  <r>
    <x v="8"/>
    <x v="9"/>
    <x v="26"/>
    <x v="26"/>
    <n v="1"/>
    <x v="5"/>
  </r>
  <r>
    <x v="8"/>
    <x v="9"/>
    <x v="10"/>
    <x v="10"/>
    <n v="1"/>
    <x v="5"/>
  </r>
  <r>
    <x v="8"/>
    <x v="9"/>
    <x v="83"/>
    <x v="82"/>
    <n v="1"/>
    <x v="5"/>
  </r>
  <r>
    <x v="8"/>
    <x v="9"/>
    <x v="82"/>
    <x v="81"/>
    <n v="1"/>
    <x v="5"/>
  </r>
  <r>
    <x v="8"/>
    <x v="9"/>
    <x v="46"/>
    <x v="46"/>
    <n v="1"/>
    <x v="5"/>
  </r>
  <r>
    <x v="8"/>
    <x v="9"/>
    <x v="94"/>
    <x v="93"/>
    <n v="1"/>
    <x v="5"/>
  </r>
  <r>
    <x v="8"/>
    <x v="9"/>
    <x v="77"/>
    <x v="77"/>
    <n v="1"/>
    <x v="5"/>
  </r>
  <r>
    <x v="8"/>
    <x v="9"/>
    <x v="5"/>
    <x v="5"/>
    <n v="1"/>
    <x v="5"/>
  </r>
  <r>
    <x v="8"/>
    <x v="9"/>
    <x v="95"/>
    <x v="94"/>
    <n v="1"/>
    <x v="5"/>
  </r>
  <r>
    <x v="8"/>
    <x v="9"/>
    <x v="26"/>
    <x v="26"/>
    <n v="1"/>
    <x v="5"/>
  </r>
  <r>
    <x v="8"/>
    <x v="9"/>
    <x v="10"/>
    <x v="10"/>
    <n v="1"/>
    <x v="5"/>
  </r>
  <r>
    <x v="8"/>
    <x v="9"/>
    <x v="83"/>
    <x v="82"/>
    <n v="1"/>
    <x v="5"/>
  </r>
  <r>
    <x v="8"/>
    <x v="9"/>
    <x v="82"/>
    <x v="81"/>
    <n v="1"/>
    <x v="5"/>
  </r>
  <r>
    <x v="8"/>
    <x v="9"/>
    <x v="46"/>
    <x v="46"/>
    <n v="1"/>
    <x v="5"/>
  </r>
  <r>
    <x v="9"/>
    <x v="10"/>
    <x v="29"/>
    <x v="29"/>
    <n v="6"/>
    <x v="5"/>
  </r>
  <r>
    <x v="9"/>
    <x v="10"/>
    <x v="74"/>
    <x v="74"/>
    <n v="5"/>
    <x v="5"/>
  </r>
  <r>
    <x v="9"/>
    <x v="10"/>
    <x v="96"/>
    <x v="95"/>
    <n v="5"/>
    <x v="5"/>
  </r>
  <r>
    <x v="9"/>
    <x v="10"/>
    <x v="97"/>
    <x v="96"/>
    <n v="2"/>
    <x v="5"/>
  </r>
  <r>
    <x v="9"/>
    <x v="10"/>
    <x v="2"/>
    <x v="2"/>
    <n v="2"/>
    <x v="5"/>
  </r>
  <r>
    <x v="9"/>
    <x v="10"/>
    <x v="98"/>
    <x v="97"/>
    <n v="5"/>
    <x v="5"/>
  </r>
  <r>
    <x v="9"/>
    <x v="10"/>
    <x v="64"/>
    <x v="64"/>
    <n v="5"/>
    <x v="5"/>
  </r>
  <r>
    <x v="9"/>
    <x v="10"/>
    <x v="54"/>
    <x v="54"/>
    <n v="5"/>
    <x v="5"/>
  </r>
  <r>
    <x v="9"/>
    <x v="10"/>
    <x v="73"/>
    <x v="73"/>
    <n v="5"/>
    <x v="5"/>
  </r>
  <r>
    <x v="9"/>
    <x v="10"/>
    <x v="83"/>
    <x v="82"/>
    <n v="5"/>
    <x v="5"/>
  </r>
  <r>
    <x v="9"/>
    <x v="10"/>
    <x v="99"/>
    <x v="98"/>
    <n v="5"/>
    <x v="5"/>
  </r>
  <r>
    <x v="9"/>
    <x v="10"/>
    <x v="100"/>
    <x v="99"/>
    <n v="5"/>
    <x v="5"/>
  </r>
  <r>
    <x v="9"/>
    <x v="10"/>
    <x v="101"/>
    <x v="100"/>
    <n v="5"/>
    <x v="5"/>
  </r>
  <r>
    <x v="9"/>
    <x v="10"/>
    <x v="83"/>
    <x v="82"/>
    <n v="5"/>
    <x v="5"/>
  </r>
  <r>
    <x v="9"/>
    <x v="10"/>
    <x v="102"/>
    <x v="101"/>
    <n v="5"/>
    <x v="5"/>
  </r>
  <r>
    <x v="9"/>
    <x v="10"/>
    <x v="95"/>
    <x v="94"/>
    <n v="5"/>
    <x v="5"/>
  </r>
  <r>
    <x v="9"/>
    <x v="10"/>
    <x v="82"/>
    <x v="81"/>
    <n v="5"/>
    <x v="5"/>
  </r>
  <r>
    <x v="9"/>
    <x v="10"/>
    <x v="46"/>
    <x v="46"/>
    <n v="5"/>
    <x v="5"/>
  </r>
  <r>
    <x v="9"/>
    <x v="10"/>
    <x v="94"/>
    <x v="93"/>
    <n v="5"/>
    <x v="5"/>
  </r>
  <r>
    <x v="9"/>
    <x v="10"/>
    <x v="77"/>
    <x v="77"/>
    <n v="5"/>
    <x v="5"/>
  </r>
  <r>
    <x v="9"/>
    <x v="10"/>
    <x v="5"/>
    <x v="5"/>
    <n v="5"/>
    <x v="5"/>
  </r>
  <r>
    <x v="9"/>
    <x v="10"/>
    <x v="95"/>
    <x v="94"/>
    <n v="5"/>
    <x v="5"/>
  </r>
  <r>
    <x v="9"/>
    <x v="10"/>
    <x v="26"/>
    <x v="26"/>
    <n v="5"/>
    <x v="5"/>
  </r>
  <r>
    <x v="9"/>
    <x v="10"/>
    <x v="10"/>
    <x v="10"/>
    <n v="5"/>
    <x v="5"/>
  </r>
  <r>
    <x v="9"/>
    <x v="10"/>
    <x v="83"/>
    <x v="82"/>
    <n v="5"/>
    <x v="5"/>
  </r>
  <r>
    <x v="9"/>
    <x v="10"/>
    <x v="82"/>
    <x v="81"/>
    <n v="5"/>
    <x v="5"/>
  </r>
  <r>
    <x v="9"/>
    <x v="10"/>
    <x v="46"/>
    <x v="46"/>
    <n v="5"/>
    <x v="5"/>
  </r>
  <r>
    <x v="9"/>
    <x v="10"/>
    <x v="85"/>
    <x v="84"/>
    <n v="5"/>
    <x v="5"/>
  </r>
  <r>
    <x v="9"/>
    <x v="10"/>
    <x v="77"/>
    <x v="77"/>
    <n v="5"/>
    <x v="5"/>
  </r>
  <r>
    <x v="9"/>
    <x v="10"/>
    <x v="86"/>
    <x v="85"/>
    <n v="5"/>
    <x v="5"/>
  </r>
  <r>
    <x v="9"/>
    <x v="10"/>
    <x v="87"/>
    <x v="86"/>
    <n v="5"/>
    <x v="5"/>
  </r>
  <r>
    <x v="9"/>
    <x v="10"/>
    <x v="38"/>
    <x v="38"/>
    <n v="5"/>
    <x v="5"/>
  </r>
  <r>
    <x v="9"/>
    <x v="10"/>
    <x v="88"/>
    <x v="87"/>
    <n v="5"/>
    <x v="5"/>
  </r>
  <r>
    <x v="9"/>
    <x v="10"/>
    <x v="46"/>
    <x v="46"/>
    <n v="5"/>
    <x v="5"/>
  </r>
  <r>
    <x v="9"/>
    <x v="10"/>
    <x v="82"/>
    <x v="81"/>
    <n v="5"/>
    <x v="5"/>
  </r>
  <r>
    <x v="9"/>
    <x v="10"/>
    <x v="83"/>
    <x v="82"/>
    <n v="5"/>
    <x v="5"/>
  </r>
  <r>
    <x v="9"/>
    <x v="10"/>
    <x v="89"/>
    <x v="88"/>
    <n v="5"/>
    <x v="5"/>
  </r>
  <r>
    <x v="9"/>
    <x v="10"/>
    <x v="103"/>
    <x v="102"/>
    <n v="1"/>
    <x v="5"/>
  </r>
  <r>
    <x v="9"/>
    <x v="10"/>
    <x v="17"/>
    <x v="17"/>
    <n v="2"/>
    <x v="5"/>
  </r>
  <r>
    <x v="9"/>
    <x v="10"/>
    <x v="104"/>
    <x v="103"/>
    <n v="1"/>
    <x v="5"/>
  </r>
  <r>
    <x v="9"/>
    <x v="10"/>
    <x v="105"/>
    <x v="104"/>
    <n v="1"/>
    <x v="5"/>
  </r>
  <r>
    <x v="9"/>
    <x v="10"/>
    <x v="106"/>
    <x v="105"/>
    <n v="1"/>
    <x v="5"/>
  </r>
  <r>
    <x v="9"/>
    <x v="10"/>
    <x v="13"/>
    <x v="13"/>
    <n v="1"/>
    <x v="5"/>
  </r>
  <r>
    <x v="9"/>
    <x v="10"/>
    <x v="14"/>
    <x v="14"/>
    <n v="1"/>
    <x v="5"/>
  </r>
  <r>
    <x v="9"/>
    <x v="10"/>
    <x v="15"/>
    <x v="15"/>
    <n v="1"/>
    <x v="5"/>
  </r>
  <r>
    <x v="9"/>
    <x v="10"/>
    <x v="107"/>
    <x v="106"/>
    <n v="1"/>
    <x v="5"/>
  </r>
  <r>
    <x v="9"/>
    <x v="10"/>
    <x v="14"/>
    <x v="14"/>
    <n v="1"/>
    <x v="5"/>
  </r>
  <r>
    <x v="9"/>
    <x v="10"/>
    <x v="108"/>
    <x v="107"/>
    <n v="1"/>
    <x v="5"/>
  </r>
  <r>
    <x v="9"/>
    <x v="10"/>
    <x v="15"/>
    <x v="15"/>
    <n v="1"/>
    <x v="5"/>
  </r>
  <r>
    <x v="9"/>
    <x v="10"/>
    <x v="109"/>
    <x v="108"/>
    <n v="2"/>
    <x v="5"/>
  </r>
  <r>
    <x v="9"/>
    <x v="10"/>
    <x v="16"/>
    <x v="16"/>
    <n v="2"/>
    <x v="5"/>
  </r>
  <r>
    <x v="10"/>
    <x v="11"/>
    <x v="110"/>
    <x v="109"/>
    <n v="5"/>
    <x v="5"/>
  </r>
  <r>
    <x v="10"/>
    <x v="11"/>
    <x v="111"/>
    <x v="110"/>
    <n v="5"/>
    <x v="5"/>
  </r>
  <r>
    <x v="10"/>
    <x v="11"/>
    <x v="112"/>
    <x v="111"/>
    <n v="5"/>
    <x v="5"/>
  </r>
  <r>
    <x v="10"/>
    <x v="11"/>
    <x v="56"/>
    <x v="56"/>
    <n v="5"/>
    <x v="5"/>
  </r>
  <r>
    <x v="10"/>
    <x v="11"/>
    <x v="113"/>
    <x v="112"/>
    <n v="5"/>
    <x v="5"/>
  </r>
  <r>
    <x v="10"/>
    <x v="11"/>
    <x v="114"/>
    <x v="113"/>
    <n v="5"/>
    <x v="5"/>
  </r>
  <r>
    <x v="11"/>
    <x v="12"/>
    <x v="26"/>
    <x v="26"/>
    <n v="200"/>
    <x v="6"/>
  </r>
  <r>
    <x v="11"/>
    <x v="12"/>
    <x v="115"/>
    <x v="114"/>
    <n v="200"/>
    <x v="6"/>
  </r>
  <r>
    <x v="11"/>
    <x v="12"/>
    <x v="69"/>
    <x v="69"/>
    <n v="200"/>
    <x v="6"/>
  </r>
  <r>
    <x v="11"/>
    <x v="12"/>
    <x v="88"/>
    <x v="87"/>
    <n v="200"/>
    <x v="6"/>
  </r>
  <r>
    <x v="11"/>
    <x v="12"/>
    <x v="116"/>
    <x v="115"/>
    <n v="200"/>
    <x v="6"/>
  </r>
  <r>
    <x v="11"/>
    <x v="12"/>
    <x v="81"/>
    <x v="80"/>
    <n v="200"/>
    <x v="6"/>
  </r>
  <r>
    <x v="11"/>
    <x v="12"/>
    <x v="71"/>
    <x v="71"/>
    <n v="500"/>
    <x v="6"/>
  </r>
  <r>
    <x v="11"/>
    <x v="12"/>
    <x v="117"/>
    <x v="116"/>
    <n v="500"/>
    <x v="6"/>
  </r>
  <r>
    <x v="11"/>
    <x v="12"/>
    <x v="118"/>
    <x v="117"/>
    <n v="500"/>
    <x v="6"/>
  </r>
  <r>
    <x v="11"/>
    <x v="12"/>
    <x v="70"/>
    <x v="70"/>
    <n v="500"/>
    <x v="6"/>
  </r>
  <r>
    <x v="11"/>
    <x v="12"/>
    <x v="119"/>
    <x v="118"/>
    <n v="500"/>
    <x v="6"/>
  </r>
  <r>
    <x v="11"/>
    <x v="12"/>
    <x v="7"/>
    <x v="7"/>
    <n v="500"/>
    <x v="6"/>
  </r>
  <r>
    <x v="11"/>
    <x v="12"/>
    <x v="120"/>
    <x v="119"/>
    <n v="500"/>
    <x v="6"/>
  </r>
  <r>
    <x v="11"/>
    <x v="12"/>
    <x v="121"/>
    <x v="120"/>
    <n v="500"/>
    <x v="6"/>
  </r>
  <r>
    <x v="11"/>
    <x v="12"/>
    <x v="122"/>
    <x v="121"/>
    <n v="500"/>
    <x v="6"/>
  </r>
  <r>
    <x v="11"/>
    <x v="12"/>
    <x v="123"/>
    <x v="122"/>
    <n v="500"/>
    <x v="6"/>
  </r>
  <r>
    <x v="11"/>
    <x v="12"/>
    <x v="124"/>
    <x v="123"/>
    <n v="500"/>
    <x v="6"/>
  </r>
  <r>
    <x v="11"/>
    <x v="12"/>
    <x v="1"/>
    <x v="1"/>
    <n v="500"/>
    <x v="6"/>
  </r>
  <r>
    <x v="11"/>
    <x v="12"/>
    <x v="125"/>
    <x v="38"/>
    <n v="100"/>
    <x v="6"/>
  </r>
  <r>
    <x v="11"/>
    <x v="12"/>
    <x v="38"/>
    <x v="38"/>
    <n v="200"/>
    <x v="6"/>
  </r>
  <r>
    <x v="11"/>
    <x v="12"/>
    <x v="80"/>
    <x v="38"/>
    <n v="100"/>
    <x v="6"/>
  </r>
  <r>
    <x v="11"/>
    <x v="12"/>
    <x v="94"/>
    <x v="93"/>
    <n v="100"/>
    <x v="6"/>
  </r>
  <r>
    <x v="11"/>
    <x v="12"/>
    <x v="77"/>
    <x v="77"/>
    <n v="100"/>
    <x v="6"/>
  </r>
  <r>
    <x v="11"/>
    <x v="12"/>
    <x v="5"/>
    <x v="5"/>
    <n v="100"/>
    <x v="6"/>
  </r>
  <r>
    <x v="11"/>
    <x v="12"/>
    <x v="95"/>
    <x v="94"/>
    <n v="100"/>
    <x v="6"/>
  </r>
  <r>
    <x v="11"/>
    <x v="12"/>
    <x v="26"/>
    <x v="26"/>
    <n v="100"/>
    <x v="6"/>
  </r>
  <r>
    <x v="11"/>
    <x v="12"/>
    <x v="10"/>
    <x v="10"/>
    <n v="100"/>
    <x v="6"/>
  </r>
  <r>
    <x v="11"/>
    <x v="12"/>
    <x v="83"/>
    <x v="82"/>
    <n v="100"/>
    <x v="6"/>
  </r>
  <r>
    <x v="11"/>
    <x v="12"/>
    <x v="82"/>
    <x v="81"/>
    <n v="100"/>
    <x v="6"/>
  </r>
  <r>
    <x v="11"/>
    <x v="12"/>
    <x v="46"/>
    <x v="46"/>
    <n v="100"/>
    <x v="6"/>
  </r>
  <r>
    <x v="11"/>
    <x v="12"/>
    <x v="99"/>
    <x v="98"/>
    <n v="200"/>
    <x v="6"/>
  </r>
  <r>
    <x v="11"/>
    <x v="12"/>
    <x v="100"/>
    <x v="99"/>
    <n v="200"/>
    <x v="6"/>
  </r>
  <r>
    <x v="11"/>
    <x v="12"/>
    <x v="101"/>
    <x v="100"/>
    <n v="200"/>
    <x v="6"/>
  </r>
  <r>
    <x v="11"/>
    <x v="12"/>
    <x v="83"/>
    <x v="82"/>
    <n v="200"/>
    <x v="6"/>
  </r>
  <r>
    <x v="11"/>
    <x v="12"/>
    <x v="102"/>
    <x v="101"/>
    <n v="200"/>
    <x v="6"/>
  </r>
  <r>
    <x v="11"/>
    <x v="12"/>
    <x v="95"/>
    <x v="94"/>
    <n v="200"/>
    <x v="6"/>
  </r>
  <r>
    <x v="11"/>
    <x v="12"/>
    <x v="82"/>
    <x v="81"/>
    <n v="200"/>
    <x v="6"/>
  </r>
  <r>
    <x v="11"/>
    <x v="12"/>
    <x v="46"/>
    <x v="46"/>
    <n v="200"/>
    <x v="6"/>
  </r>
  <r>
    <x v="11"/>
    <x v="12"/>
    <x v="126"/>
    <x v="124"/>
    <n v="50"/>
    <x v="6"/>
  </r>
  <r>
    <x v="11"/>
    <x v="12"/>
    <x v="77"/>
    <x v="77"/>
    <n v="50"/>
    <x v="6"/>
  </r>
  <r>
    <x v="11"/>
    <x v="12"/>
    <x v="86"/>
    <x v="85"/>
    <n v="50"/>
    <x v="6"/>
  </r>
  <r>
    <x v="11"/>
    <x v="12"/>
    <x v="127"/>
    <x v="125"/>
    <n v="50"/>
    <x v="6"/>
  </r>
  <r>
    <x v="11"/>
    <x v="12"/>
    <x v="128"/>
    <x v="126"/>
    <n v="50"/>
    <x v="6"/>
  </r>
  <r>
    <x v="11"/>
    <x v="12"/>
    <x v="38"/>
    <x v="38"/>
    <n v="50"/>
    <x v="6"/>
  </r>
  <r>
    <x v="11"/>
    <x v="12"/>
    <x v="26"/>
    <x v="26"/>
    <n v="50"/>
    <x v="6"/>
  </r>
  <r>
    <x v="11"/>
    <x v="12"/>
    <x v="83"/>
    <x v="82"/>
    <n v="50"/>
    <x v="6"/>
  </r>
  <r>
    <x v="11"/>
    <x v="12"/>
    <x v="82"/>
    <x v="81"/>
    <n v="50"/>
    <x v="6"/>
  </r>
  <r>
    <x v="11"/>
    <x v="12"/>
    <x v="46"/>
    <x v="46"/>
    <n v="50"/>
    <x v="6"/>
  </r>
  <r>
    <x v="11"/>
    <x v="12"/>
    <x v="85"/>
    <x v="84"/>
    <n v="50"/>
    <x v="6"/>
  </r>
  <r>
    <x v="11"/>
    <x v="12"/>
    <x v="77"/>
    <x v="77"/>
    <n v="50"/>
    <x v="6"/>
  </r>
  <r>
    <x v="11"/>
    <x v="12"/>
    <x v="86"/>
    <x v="85"/>
    <n v="50"/>
    <x v="6"/>
  </r>
  <r>
    <x v="11"/>
    <x v="12"/>
    <x v="87"/>
    <x v="86"/>
    <n v="50"/>
    <x v="6"/>
  </r>
  <r>
    <x v="11"/>
    <x v="12"/>
    <x v="38"/>
    <x v="38"/>
    <n v="50"/>
    <x v="6"/>
  </r>
  <r>
    <x v="11"/>
    <x v="12"/>
    <x v="88"/>
    <x v="87"/>
    <n v="50"/>
    <x v="6"/>
  </r>
  <r>
    <x v="11"/>
    <x v="12"/>
    <x v="46"/>
    <x v="46"/>
    <n v="50"/>
    <x v="6"/>
  </r>
  <r>
    <x v="11"/>
    <x v="12"/>
    <x v="82"/>
    <x v="81"/>
    <n v="50"/>
    <x v="6"/>
  </r>
  <r>
    <x v="11"/>
    <x v="12"/>
    <x v="83"/>
    <x v="82"/>
    <n v="50"/>
    <x v="6"/>
  </r>
  <r>
    <x v="11"/>
    <x v="12"/>
    <x v="89"/>
    <x v="88"/>
    <n v="50"/>
    <x v="6"/>
  </r>
  <r>
    <x v="11"/>
    <x v="12"/>
    <x v="98"/>
    <x v="97"/>
    <n v="300"/>
    <x v="6"/>
  </r>
  <r>
    <x v="11"/>
    <x v="12"/>
    <x v="64"/>
    <x v="64"/>
    <n v="300"/>
    <x v="6"/>
  </r>
  <r>
    <x v="11"/>
    <x v="12"/>
    <x v="54"/>
    <x v="54"/>
    <n v="300"/>
    <x v="6"/>
  </r>
  <r>
    <x v="11"/>
    <x v="12"/>
    <x v="73"/>
    <x v="73"/>
    <n v="300"/>
    <x v="6"/>
  </r>
  <r>
    <x v="11"/>
    <x v="12"/>
    <x v="83"/>
    <x v="82"/>
    <n v="300"/>
    <x v="6"/>
  </r>
  <r>
    <x v="11"/>
    <x v="12"/>
    <x v="129"/>
    <x v="127"/>
    <n v="50"/>
    <x v="6"/>
  </r>
  <r>
    <x v="11"/>
    <x v="12"/>
    <x v="130"/>
    <x v="128"/>
    <n v="40"/>
    <x v="6"/>
  </r>
  <r>
    <x v="11"/>
    <x v="12"/>
    <x v="131"/>
    <x v="129"/>
    <n v="50"/>
    <x v="6"/>
  </r>
  <r>
    <x v="11"/>
    <x v="12"/>
    <x v="132"/>
    <x v="130"/>
    <n v="40"/>
    <x v="6"/>
  </r>
  <r>
    <x v="11"/>
    <x v="12"/>
    <x v="133"/>
    <x v="131"/>
    <n v="20"/>
    <x v="6"/>
  </r>
  <r>
    <x v="11"/>
    <x v="12"/>
    <x v="134"/>
    <x v="132"/>
    <n v="20"/>
    <x v="6"/>
  </r>
  <r>
    <x v="11"/>
    <x v="12"/>
    <x v="135"/>
    <x v="133"/>
    <n v="20"/>
    <x v="6"/>
  </r>
  <r>
    <x v="11"/>
    <x v="12"/>
    <x v="136"/>
    <x v="134"/>
    <n v="20"/>
    <x v="6"/>
  </r>
  <r>
    <x v="12"/>
    <x v="13"/>
    <x v="137"/>
    <x v="135"/>
    <n v="252"/>
    <x v="5"/>
  </r>
  <r>
    <x v="12"/>
    <x v="13"/>
    <x v="138"/>
    <x v="136"/>
    <n v="60"/>
    <x v="5"/>
  </r>
  <r>
    <x v="12"/>
    <x v="13"/>
    <x v="139"/>
    <x v="137"/>
    <n v="20"/>
    <x v="5"/>
  </r>
  <r>
    <x v="12"/>
    <x v="13"/>
    <x v="140"/>
    <x v="138"/>
    <n v="52"/>
    <x v="5"/>
  </r>
  <r>
    <x v="13"/>
    <x v="14"/>
    <x v="141"/>
    <x v="139"/>
    <n v="20"/>
    <x v="0"/>
  </r>
  <r>
    <x v="13"/>
    <x v="14"/>
    <x v="26"/>
    <x v="26"/>
    <n v="8"/>
    <x v="0"/>
  </r>
  <r>
    <x v="13"/>
    <x v="14"/>
    <x v="142"/>
    <x v="140"/>
    <n v="2"/>
    <x v="0"/>
  </r>
  <r>
    <x v="13"/>
    <x v="14"/>
    <x v="29"/>
    <x v="29"/>
    <n v="1"/>
    <x v="0"/>
  </r>
  <r>
    <x v="13"/>
    <x v="15"/>
    <x v="10"/>
    <x v="10"/>
    <n v="2"/>
    <x v="0"/>
  </r>
  <r>
    <x v="13"/>
    <x v="15"/>
    <x v="5"/>
    <x v="5"/>
    <n v="2"/>
    <x v="0"/>
  </r>
  <r>
    <x v="13"/>
    <x v="15"/>
    <x v="6"/>
    <x v="6"/>
    <n v="2"/>
    <x v="0"/>
  </r>
  <r>
    <x v="13"/>
    <x v="15"/>
    <x v="11"/>
    <x v="11"/>
    <n v="2"/>
    <x v="0"/>
  </r>
  <r>
    <x v="13"/>
    <x v="15"/>
    <x v="9"/>
    <x v="9"/>
    <n v="2"/>
    <x v="0"/>
  </r>
  <r>
    <x v="13"/>
    <x v="15"/>
    <x v="143"/>
    <x v="141"/>
    <n v="2"/>
    <x v="0"/>
  </r>
  <r>
    <x v="13"/>
    <x v="15"/>
    <x v="74"/>
    <x v="74"/>
    <n v="2"/>
    <x v="0"/>
  </r>
  <r>
    <x v="14"/>
    <x v="16"/>
    <x v="144"/>
    <x v="142"/>
    <n v="20"/>
    <x v="0"/>
  </r>
  <r>
    <x v="14"/>
    <x v="16"/>
    <x v="145"/>
    <x v="143"/>
    <n v="10"/>
    <x v="0"/>
  </r>
  <r>
    <x v="14"/>
    <x v="16"/>
    <x v="146"/>
    <x v="144"/>
    <n v="8"/>
    <x v="0"/>
  </r>
  <r>
    <x v="14"/>
    <x v="16"/>
    <x v="21"/>
    <x v="21"/>
    <n v="16"/>
    <x v="0"/>
  </r>
  <r>
    <x v="14"/>
    <x v="16"/>
    <x v="147"/>
    <x v="145"/>
    <n v="16"/>
    <x v="0"/>
  </r>
  <r>
    <x v="14"/>
    <x v="16"/>
    <x v="148"/>
    <x v="146"/>
    <n v="8"/>
    <x v="0"/>
  </r>
  <r>
    <x v="14"/>
    <x v="16"/>
    <x v="45"/>
    <x v="45"/>
    <n v="30"/>
    <x v="0"/>
  </r>
  <r>
    <x v="14"/>
    <x v="16"/>
    <x v="43"/>
    <x v="43"/>
    <n v="30"/>
    <x v="0"/>
  </r>
  <r>
    <x v="14"/>
    <x v="16"/>
    <x v="149"/>
    <x v="147"/>
    <n v="96"/>
    <x v="0"/>
  </r>
  <r>
    <x v="14"/>
    <x v="16"/>
    <x v="125"/>
    <x v="38"/>
    <n v="24"/>
    <x v="0"/>
  </r>
  <r>
    <x v="14"/>
    <x v="16"/>
    <x v="38"/>
    <x v="38"/>
    <n v="36"/>
    <x v="0"/>
  </r>
  <r>
    <x v="14"/>
    <x v="16"/>
    <x v="150"/>
    <x v="148"/>
    <n v="24"/>
    <x v="0"/>
  </r>
  <r>
    <x v="14"/>
    <x v="16"/>
    <x v="58"/>
    <x v="58"/>
    <n v="36"/>
    <x v="0"/>
  </r>
  <r>
    <x v="14"/>
    <x v="16"/>
    <x v="19"/>
    <x v="19"/>
    <n v="40"/>
    <x v="0"/>
  </r>
  <r>
    <x v="14"/>
    <x v="16"/>
    <x v="151"/>
    <x v="149"/>
    <n v="450"/>
    <x v="0"/>
  </r>
  <r>
    <x v="14"/>
    <x v="16"/>
    <x v="152"/>
    <x v="150"/>
    <n v="1800"/>
    <x v="0"/>
  </r>
  <r>
    <x v="14"/>
    <x v="16"/>
    <x v="153"/>
    <x v="151"/>
    <n v="400"/>
    <x v="0"/>
  </r>
  <r>
    <x v="14"/>
    <x v="16"/>
    <x v="7"/>
    <x v="7"/>
    <n v="560"/>
    <x v="0"/>
  </r>
  <r>
    <x v="14"/>
    <x v="16"/>
    <x v="119"/>
    <x v="118"/>
    <n v="96"/>
    <x v="0"/>
  </r>
  <r>
    <x v="14"/>
    <x v="16"/>
    <x v="154"/>
    <x v="152"/>
    <n v="200"/>
    <x v="0"/>
  </r>
  <r>
    <x v="14"/>
    <x v="16"/>
    <x v="117"/>
    <x v="116"/>
    <n v="10"/>
    <x v="0"/>
  </r>
  <r>
    <x v="14"/>
    <x v="16"/>
    <x v="118"/>
    <x v="117"/>
    <n v="30"/>
    <x v="0"/>
  </r>
  <r>
    <x v="14"/>
    <x v="16"/>
    <x v="6"/>
    <x v="6"/>
    <n v="30"/>
    <x v="0"/>
  </r>
  <r>
    <x v="14"/>
    <x v="16"/>
    <x v="127"/>
    <x v="125"/>
    <n v="20"/>
    <x v="0"/>
  </r>
  <r>
    <x v="14"/>
    <x v="16"/>
    <x v="155"/>
    <x v="153"/>
    <n v="20"/>
    <x v="0"/>
  </r>
  <r>
    <x v="14"/>
    <x v="16"/>
    <x v="128"/>
    <x v="126"/>
    <n v="20"/>
    <x v="0"/>
  </r>
  <r>
    <x v="14"/>
    <x v="16"/>
    <x v="156"/>
    <x v="126"/>
    <n v="20"/>
    <x v="0"/>
  </r>
  <r>
    <x v="14"/>
    <x v="16"/>
    <x v="157"/>
    <x v="154"/>
    <n v="560"/>
    <x v="0"/>
  </r>
  <r>
    <x v="14"/>
    <x v="16"/>
    <x v="158"/>
    <x v="155"/>
    <n v="90"/>
    <x v="0"/>
  </r>
  <r>
    <x v="15"/>
    <x v="17"/>
    <x v="85"/>
    <x v="84"/>
    <n v="100"/>
    <x v="0"/>
  </r>
  <r>
    <x v="15"/>
    <x v="17"/>
    <x v="77"/>
    <x v="77"/>
    <n v="100"/>
    <x v="0"/>
  </r>
  <r>
    <x v="15"/>
    <x v="17"/>
    <x v="159"/>
    <x v="85"/>
    <n v="100"/>
    <x v="0"/>
  </r>
  <r>
    <x v="15"/>
    <x v="17"/>
    <x v="87"/>
    <x v="86"/>
    <n v="100"/>
    <x v="0"/>
  </r>
  <r>
    <x v="15"/>
    <x v="17"/>
    <x v="38"/>
    <x v="38"/>
    <n v="100"/>
    <x v="0"/>
  </r>
  <r>
    <x v="15"/>
    <x v="17"/>
    <x v="88"/>
    <x v="87"/>
    <n v="100"/>
    <x v="0"/>
  </r>
  <r>
    <x v="15"/>
    <x v="17"/>
    <x v="46"/>
    <x v="46"/>
    <n v="100"/>
    <x v="0"/>
  </r>
  <r>
    <x v="15"/>
    <x v="17"/>
    <x v="82"/>
    <x v="81"/>
    <n v="100"/>
    <x v="0"/>
  </r>
  <r>
    <x v="15"/>
    <x v="17"/>
    <x v="83"/>
    <x v="82"/>
    <n v="100"/>
    <x v="0"/>
  </r>
  <r>
    <x v="15"/>
    <x v="17"/>
    <x v="89"/>
    <x v="88"/>
    <n v="100"/>
    <x v="0"/>
  </r>
  <r>
    <x v="16"/>
    <x v="18"/>
    <x v="31"/>
    <x v="156"/>
    <n v="20"/>
    <x v="7"/>
  </r>
  <r>
    <x v="16"/>
    <x v="18"/>
    <x v="6"/>
    <x v="6"/>
    <n v="20"/>
    <x v="7"/>
  </r>
  <r>
    <x v="16"/>
    <x v="18"/>
    <x v="160"/>
    <x v="157"/>
    <n v="20"/>
    <x v="7"/>
  </r>
  <r>
    <x v="16"/>
    <x v="18"/>
    <x v="24"/>
    <x v="24"/>
    <n v="20"/>
    <x v="7"/>
  </r>
  <r>
    <x v="17"/>
    <x v="5"/>
    <x v="161"/>
    <x v="158"/>
    <m/>
    <x v="8"/>
  </r>
  <r>
    <x v="17"/>
    <x v="5"/>
    <x v="161"/>
    <x v="158"/>
    <m/>
    <x v="8"/>
  </r>
  <r>
    <x v="17"/>
    <x v="5"/>
    <x v="161"/>
    <x v="158"/>
    <m/>
    <x v="8"/>
  </r>
  <r>
    <x v="17"/>
    <x v="5"/>
    <x v="161"/>
    <x v="158"/>
    <m/>
    <x v="8"/>
  </r>
  <r>
    <x v="17"/>
    <x v="5"/>
    <x v="161"/>
    <x v="158"/>
    <m/>
    <x v="8"/>
  </r>
  <r>
    <x v="17"/>
    <x v="5"/>
    <x v="161"/>
    <x v="158"/>
    <m/>
    <x v="8"/>
  </r>
  <r>
    <x v="17"/>
    <x v="5"/>
    <x v="161"/>
    <x v="158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8B1C1-17D2-4821-9CA4-52278D1CEBA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W169" firstHeaderRow="1" firstDataRow="3" firstDataCol="2"/>
  <pivotFields count="6">
    <pivotField axis="axisCol" compact="0" outline="0" showAll="0" defaultSubtotal="0">
      <items count="28">
        <item m="1" x="24"/>
        <item m="1" x="23"/>
        <item m="1" x="22"/>
        <item x="17"/>
        <item m="1" x="25"/>
        <item m="1" x="26"/>
        <item x="16"/>
        <item m="1" x="27"/>
        <item x="0"/>
        <item x="1"/>
        <item x="2"/>
        <item m="1" x="19"/>
        <item x="3"/>
        <item m="1" x="20"/>
        <item x="7"/>
        <item x="5"/>
        <item x="6"/>
        <item x="10"/>
        <item x="9"/>
        <item m="1" x="21"/>
        <item x="14"/>
        <item x="4"/>
        <item x="8"/>
        <item x="11"/>
        <item x="12"/>
        <item x="13"/>
        <item x="15"/>
        <item m="1" x="18"/>
      </items>
    </pivotField>
    <pivotField axis="axisCol" compact="0" outline="0" showAll="0" defaultSubtotal="0">
      <items count="41">
        <item m="1" x="34"/>
        <item m="1" x="35"/>
        <item m="1" x="36"/>
        <item x="5"/>
        <item m="1" x="37"/>
        <item m="1" x="38"/>
        <item m="1" x="39"/>
        <item m="1" x="40"/>
        <item x="0"/>
        <item x="1"/>
        <item x="2"/>
        <item x="3"/>
        <item x="12"/>
        <item x="4"/>
        <item m="1" x="33"/>
        <item x="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6"/>
        <item x="7"/>
        <item x="11"/>
        <item x="10"/>
        <item x="9"/>
        <item x="15"/>
        <item x="14"/>
        <item x="16"/>
        <item x="13"/>
        <item x="17"/>
        <item x="18"/>
      </items>
    </pivotField>
    <pivotField axis="axisRow" compact="0" outline="0" showAll="0" defaultSubtotal="0">
      <items count="162">
        <item x="90"/>
        <item x="149"/>
        <item x="10"/>
        <item x="55"/>
        <item x="78"/>
        <item x="146"/>
        <item x="102"/>
        <item x="5"/>
        <item x="54"/>
        <item x="155"/>
        <item x="127"/>
        <item x="84"/>
        <item x="89"/>
        <item x="147"/>
        <item x="148"/>
        <item x="45"/>
        <item x="95"/>
        <item x="6"/>
        <item x="53"/>
        <item x="156"/>
        <item x="128"/>
        <item x="87"/>
        <item x="150"/>
        <item x="58"/>
        <item x="125"/>
        <item x="80"/>
        <item x="38"/>
        <item x="9"/>
        <item x="43"/>
        <item x="65"/>
        <item x="69"/>
        <item x="26"/>
        <item x="115"/>
        <item x="81"/>
        <item x="88"/>
        <item x="8"/>
        <item x="75"/>
        <item x="19"/>
        <item x="152"/>
        <item x="119"/>
        <item x="7"/>
        <item x="70"/>
        <item x="117"/>
        <item x="118"/>
        <item x="71"/>
        <item x="122"/>
        <item x="0"/>
        <item x="96"/>
        <item x="63"/>
        <item x="74"/>
        <item x="2"/>
        <item x="3"/>
        <item x="46"/>
        <item x="82"/>
        <item x="83"/>
        <item x="77"/>
        <item x="126"/>
        <item x="94"/>
        <item x="76"/>
        <item x="85"/>
        <item x="99"/>
        <item x="161"/>
        <item x="57"/>
        <item x="1"/>
        <item x="4"/>
        <item x="116"/>
        <item x="120"/>
        <item x="121"/>
        <item x="123"/>
        <item x="124"/>
        <item x="98"/>
        <item x="129"/>
        <item x="130"/>
        <item x="131"/>
        <item x="132"/>
        <item x="133"/>
        <item x="134"/>
        <item x="135"/>
        <item x="136"/>
        <item x="11"/>
        <item x="12"/>
        <item x="13"/>
        <item x="14"/>
        <item x="15"/>
        <item x="16"/>
        <item x="17"/>
        <item x="100"/>
        <item x="101"/>
        <item x="86"/>
        <item x="64"/>
        <item x="73"/>
        <item x="79"/>
        <item x="91"/>
        <item x="92"/>
        <item x="93"/>
        <item x="59"/>
        <item x="60"/>
        <item x="61"/>
        <item x="62"/>
        <item x="66"/>
        <item x="67"/>
        <item x="68"/>
        <item x="72"/>
        <item x="110"/>
        <item x="111"/>
        <item x="112"/>
        <item x="56"/>
        <item x="113"/>
        <item x="114"/>
        <item x="29"/>
        <item x="97"/>
        <item x="103"/>
        <item x="104"/>
        <item x="105"/>
        <item x="106"/>
        <item x="107"/>
        <item x="108"/>
        <item x="109"/>
        <item x="143"/>
        <item x="141"/>
        <item x="142"/>
        <item x="144"/>
        <item x="145"/>
        <item x="21"/>
        <item x="151"/>
        <item x="153"/>
        <item x="154"/>
        <item x="157"/>
        <item x="158"/>
        <item x="18"/>
        <item x="20"/>
        <item x="22"/>
        <item x="23"/>
        <item x="24"/>
        <item x="25"/>
        <item x="27"/>
        <item x="28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4"/>
        <item x="47"/>
        <item x="48"/>
        <item x="49"/>
        <item x="50"/>
        <item x="51"/>
        <item x="52"/>
        <item x="137"/>
        <item x="138"/>
        <item x="139"/>
        <item x="140"/>
        <item x="159"/>
        <item x="160"/>
      </items>
    </pivotField>
    <pivotField axis="axisRow" compact="0" outline="0" showAll="0" defaultSubtotal="0">
      <items count="339">
        <item m="1" x="270"/>
        <item m="1" x="242"/>
        <item m="1" x="272"/>
        <item m="1" x="248"/>
        <item m="1" x="233"/>
        <item x="124"/>
        <item m="1" x="186"/>
        <item m="1" x="232"/>
        <item m="1" x="187"/>
        <item x="98"/>
        <item m="1" x="329"/>
        <item m="1" x="331"/>
        <item m="1" x="256"/>
        <item m="1" x="334"/>
        <item m="1" x="333"/>
        <item m="1" x="271"/>
        <item m="1" x="269"/>
        <item m="1" x="268"/>
        <item m="1" x="267"/>
        <item m="1" x="266"/>
        <item x="49"/>
        <item m="1" x="227"/>
        <item m="1" x="197"/>
        <item m="1" x="289"/>
        <item m="1" x="313"/>
        <item m="1" x="241"/>
        <item m="1" x="239"/>
        <item m="1" x="240"/>
        <item m="1" x="275"/>
        <item m="1" x="285"/>
        <item m="1" x="319"/>
        <item m="1" x="320"/>
        <item m="1" x="300"/>
        <item m="1" x="299"/>
        <item m="1" x="174"/>
        <item m="1" x="325"/>
        <item x="147"/>
        <item m="1" x="314"/>
        <item m="1" x="324"/>
        <item m="1" x="243"/>
        <item m="1" x="278"/>
        <item m="1" x="167"/>
        <item m="1" x="279"/>
        <item m="1" x="282"/>
        <item m="1" x="281"/>
        <item m="1" x="280"/>
        <item m="1" x="332"/>
        <item m="1" x="323"/>
        <item m="1" x="258"/>
        <item m="1" x="265"/>
        <item m="1" x="273"/>
        <item m="1" x="277"/>
        <item m="1" x="237"/>
        <item m="1" x="308"/>
        <item m="1" x="238"/>
        <item m="1" x="326"/>
        <item m="1" x="315"/>
        <item m="1" x="254"/>
        <item m="1" x="251"/>
        <item m="1" x="234"/>
        <item m="1" x="184"/>
        <item m="1" x="235"/>
        <item m="1" x="304"/>
        <item m="1" x="236"/>
        <item x="150"/>
        <item m="1" x="316"/>
        <item m="1" x="209"/>
        <item x="19"/>
        <item m="1" x="257"/>
        <item m="1" x="255"/>
        <item m="1" x="245"/>
        <item m="1" x="303"/>
        <item x="103"/>
        <item x="8"/>
        <item m="1" x="261"/>
        <item m="1" x="311"/>
        <item m="1" x="309"/>
        <item m="1" x="310"/>
        <item m="1" x="262"/>
        <item m="1" x="264"/>
        <item m="1" x="328"/>
        <item m="1" x="318"/>
        <item m="1" x="290"/>
        <item m="1" x="291"/>
        <item m="1" x="230"/>
        <item m="1" x="229"/>
        <item m="1" x="292"/>
        <item m="1" x="293"/>
        <item m="1" x="294"/>
        <item m="1" x="228"/>
        <item m="1" x="164"/>
        <item m="1" x="295"/>
        <item m="1" x="276"/>
        <item x="27"/>
        <item m="1" x="296"/>
        <item m="1" x="297"/>
        <item x="30"/>
        <item m="1" x="298"/>
        <item m="1" x="274"/>
        <item x="63"/>
        <item x="74"/>
        <item m="1" x="307"/>
        <item m="1" x="327"/>
        <item m="1" x="306"/>
        <item x="95"/>
        <item m="1" x="305"/>
        <item m="1" x="288"/>
        <item x="146"/>
        <item m="1" x="246"/>
        <item m="1" x="163"/>
        <item m="1" x="161"/>
        <item m="1" x="286"/>
        <item x="144"/>
        <item m="1" x="287"/>
        <item m="1" x="284"/>
        <item m="1" x="312"/>
        <item m="1" x="321"/>
        <item x="31"/>
        <item m="1" x="322"/>
        <item m="1" x="259"/>
        <item m="1" x="244"/>
        <item m="1" x="252"/>
        <item x="145"/>
        <item x="148"/>
        <item x="58"/>
        <item m="1" x="317"/>
        <item m="1" x="191"/>
        <item m="1" x="192"/>
        <item m="1" x="172"/>
        <item x="65"/>
        <item x="69"/>
        <item x="114"/>
        <item m="1" x="198"/>
        <item m="1" x="283"/>
        <item m="1" x="189"/>
        <item x="80"/>
        <item m="1" x="171"/>
        <item m="1" x="247"/>
        <item m="1" x="260"/>
        <item m="1" x="253"/>
        <item m="1" x="263"/>
        <item m="1" x="330"/>
        <item x="116"/>
        <item x="117"/>
        <item x="71"/>
        <item m="1" x="249"/>
        <item m="1" x="250"/>
        <item m="1" x="231"/>
        <item x="121"/>
        <item x="0"/>
        <item m="1" x="301"/>
        <item m="1" x="165"/>
        <item m="1" x="302"/>
        <item x="158"/>
        <item m="1" x="335"/>
        <item m="1" x="336"/>
        <item m="1" x="337"/>
        <item m="1" x="166"/>
        <item x="57"/>
        <item m="1" x="338"/>
        <item m="1" x="224"/>
        <item x="1"/>
        <item m="1" x="162"/>
        <item x="3"/>
        <item x="4"/>
        <item x="115"/>
        <item x="70"/>
        <item x="118"/>
        <item m="1" x="190"/>
        <item x="119"/>
        <item x="120"/>
        <item x="122"/>
        <item x="123"/>
        <item m="1" x="182"/>
        <item m="1" x="193"/>
        <item x="97"/>
        <item x="127"/>
        <item x="128"/>
        <item x="129"/>
        <item x="130"/>
        <item x="131"/>
        <item x="132"/>
        <item x="133"/>
        <item x="134"/>
        <item x="11"/>
        <item x="12"/>
        <item m="1" x="215"/>
        <item x="55"/>
        <item m="1" x="194"/>
        <item m="1" x="195"/>
        <item m="1" x="196"/>
        <item m="1" x="178"/>
        <item x="7"/>
        <item m="1" x="179"/>
        <item x="75"/>
        <item m="1" x="180"/>
        <item m="1" x="181"/>
        <item m="1" x="159"/>
        <item x="89"/>
        <item x="90"/>
        <item x="91"/>
        <item x="59"/>
        <item x="60"/>
        <item x="61"/>
        <item x="62"/>
        <item m="1" x="176"/>
        <item x="66"/>
        <item x="67"/>
        <item x="68"/>
        <item x="72"/>
        <item m="1" x="177"/>
        <item x="109"/>
        <item x="110"/>
        <item x="111"/>
        <item m="1" x="188"/>
        <item x="112"/>
        <item x="113"/>
        <item m="1" x="173"/>
        <item x="96"/>
        <item m="1" x="185"/>
        <item x="102"/>
        <item x="93"/>
        <item x="141"/>
        <item x="139"/>
        <item x="140"/>
        <item x="142"/>
        <item x="143"/>
        <item m="1" x="169"/>
        <item x="149"/>
        <item x="151"/>
        <item x="152"/>
        <item m="1" x="199"/>
        <item x="153"/>
        <item m="1" x="200"/>
        <item m="1" x="201"/>
        <item x="154"/>
        <item x="155"/>
        <item x="77"/>
        <item x="5"/>
        <item m="1" x="204"/>
        <item m="1" x="202"/>
        <item x="10"/>
        <item x="81"/>
        <item m="1" x="205"/>
        <item m="1" x="206"/>
        <item m="1" x="207"/>
        <item x="101"/>
        <item x="85"/>
        <item x="125"/>
        <item x="126"/>
        <item x="38"/>
        <item x="86"/>
        <item m="1" x="203"/>
        <item m="1" x="208"/>
        <item m="1" x="160"/>
        <item x="73"/>
        <item m="1" x="210"/>
        <item x="79"/>
        <item m="1" x="225"/>
        <item m="1" x="211"/>
        <item m="1" x="212"/>
        <item m="1" x="221"/>
        <item x="14"/>
        <item m="1" x="222"/>
        <item m="1" x="213"/>
        <item m="1" x="214"/>
        <item m="1" x="226"/>
        <item x="104"/>
        <item m="1" x="223"/>
        <item m="1" x="216"/>
        <item m="1" x="217"/>
        <item x="108"/>
        <item x="94"/>
        <item m="1" x="168"/>
        <item x="20"/>
        <item x="22"/>
        <item m="1" x="170"/>
        <item x="25"/>
        <item x="15"/>
        <item x="13"/>
        <item x="28"/>
        <item x="32"/>
        <item x="35"/>
        <item m="1" x="218"/>
        <item x="18"/>
        <item m="1" x="175"/>
        <item x="6"/>
        <item m="1" x="219"/>
        <item x="29"/>
        <item x="23"/>
        <item x="24"/>
        <item x="21"/>
        <item x="33"/>
        <item x="39"/>
        <item x="40"/>
        <item m="1" x="220"/>
        <item x="42"/>
        <item x="43"/>
        <item x="44"/>
        <item x="45"/>
        <item x="46"/>
        <item x="47"/>
        <item x="48"/>
        <item x="50"/>
        <item x="51"/>
        <item x="52"/>
        <item x="105"/>
        <item x="34"/>
        <item x="53"/>
        <item x="56"/>
        <item x="135"/>
        <item x="136"/>
        <item x="137"/>
        <item x="138"/>
        <item x="16"/>
        <item x="17"/>
        <item x="36"/>
        <item x="37"/>
        <item x="41"/>
        <item x="78"/>
        <item m="1" x="183"/>
        <item x="82"/>
        <item x="83"/>
        <item x="87"/>
        <item x="88"/>
        <item x="92"/>
        <item x="26"/>
        <item x="64"/>
        <item x="54"/>
        <item x="99"/>
        <item x="100"/>
        <item x="106"/>
        <item x="107"/>
        <item x="2"/>
        <item x="9"/>
        <item x="76"/>
        <item x="84"/>
        <item x="156"/>
        <item x="157"/>
      </items>
    </pivotField>
    <pivotField dataField="1" compact="0" outline="0" showAll="0" defaultSubtotal="0"/>
    <pivotField compact="0" outline="0" showAll="0" defaultSubtotal="0"/>
  </pivotFields>
  <rowFields count="2">
    <field x="2"/>
    <field x="3"/>
  </rowFields>
  <rowItems count="164">
    <i>
      <x/>
      <x v="198"/>
    </i>
    <i>
      <x v="1"/>
      <x v="36"/>
    </i>
    <i>
      <x v="2"/>
      <x v="241"/>
    </i>
    <i>
      <x v="3"/>
      <x v="187"/>
    </i>
    <i>
      <x v="4"/>
      <x v="319"/>
    </i>
    <i>
      <x v="5"/>
      <x v="112"/>
    </i>
    <i>
      <x v="6"/>
      <x v="246"/>
    </i>
    <i>
      <x v="7"/>
      <x v="238"/>
    </i>
    <i>
      <x v="8"/>
      <x v="328"/>
    </i>
    <i>
      <x v="9"/>
      <x v="232"/>
    </i>
    <i>
      <x v="10"/>
      <x v="248"/>
    </i>
    <i>
      <x v="11"/>
      <x v="322"/>
    </i>
    <i>
      <x v="12"/>
      <x v="324"/>
    </i>
    <i>
      <x v="13"/>
      <x v="122"/>
    </i>
    <i>
      <x v="14"/>
      <x v="107"/>
    </i>
    <i>
      <x v="15"/>
      <x v="299"/>
    </i>
    <i>
      <x v="16"/>
      <x v="272"/>
    </i>
    <i>
      <x v="17"/>
      <x v="286"/>
    </i>
    <i>
      <x v="18"/>
      <x v="308"/>
    </i>
    <i>
      <x v="19"/>
      <x v="249"/>
    </i>
    <i>
      <x v="20"/>
      <x v="249"/>
    </i>
    <i>
      <x v="21"/>
      <x v="251"/>
    </i>
    <i>
      <x v="22"/>
      <x v="123"/>
    </i>
    <i>
      <x v="23"/>
      <x v="124"/>
    </i>
    <i>
      <x v="24"/>
      <x v="250"/>
    </i>
    <i>
      <x v="25"/>
      <x v="250"/>
    </i>
    <i>
      <x v="26"/>
      <x v="250"/>
    </i>
    <i>
      <x v="27"/>
      <x v="334"/>
    </i>
    <i>
      <x v="28"/>
      <x v="297"/>
    </i>
    <i>
      <x v="29"/>
      <x v="129"/>
    </i>
    <i>
      <x v="30"/>
      <x v="130"/>
    </i>
    <i>
      <x v="31"/>
      <x v="326"/>
    </i>
    <i>
      <x v="32"/>
      <x v="131"/>
    </i>
    <i>
      <x v="33"/>
      <x v="135"/>
    </i>
    <i>
      <x v="34"/>
      <x v="323"/>
    </i>
    <i>
      <x v="35"/>
      <x v="73"/>
    </i>
    <i>
      <x v="36"/>
      <x v="194"/>
    </i>
    <i>
      <x v="37"/>
      <x v="67"/>
    </i>
    <i>
      <x v="38"/>
      <x v="64"/>
    </i>
    <i>
      <x v="39"/>
      <x v="167"/>
    </i>
    <i>
      <x v="40"/>
      <x v="192"/>
    </i>
    <i>
      <x v="41"/>
      <x v="166"/>
    </i>
    <i>
      <x v="42"/>
      <x v="142"/>
    </i>
    <i>
      <x v="43"/>
      <x v="143"/>
    </i>
    <i>
      <x v="44"/>
      <x v="144"/>
    </i>
    <i>
      <x v="45"/>
      <x v="148"/>
    </i>
    <i>
      <x v="46"/>
      <x v="149"/>
    </i>
    <i>
      <x v="47"/>
      <x v="104"/>
    </i>
    <i>
      <x v="48"/>
      <x v="99"/>
    </i>
    <i>
      <x v="49"/>
      <x v="100"/>
    </i>
    <i>
      <x v="50"/>
      <x v="333"/>
    </i>
    <i>
      <x v="51"/>
      <x v="163"/>
    </i>
    <i>
      <x v="52"/>
      <x v="300"/>
    </i>
    <i>
      <x v="53"/>
      <x v="242"/>
    </i>
    <i>
      <x v="54"/>
      <x v="321"/>
    </i>
    <i>
      <x v="55"/>
      <x v="237"/>
    </i>
    <i>
      <x v="56"/>
      <x v="5"/>
    </i>
    <i>
      <x v="57"/>
      <x v="221"/>
    </i>
    <i>
      <x v="58"/>
      <x v="335"/>
    </i>
    <i>
      <x v="59"/>
      <x v="336"/>
    </i>
    <i>
      <x v="60"/>
      <x v="9"/>
    </i>
    <i>
      <x v="61"/>
      <x v="153"/>
    </i>
    <i>
      <x v="62"/>
      <x v="158"/>
    </i>
    <i>
      <x v="63"/>
      <x v="161"/>
    </i>
    <i>
      <x v="64"/>
      <x v="164"/>
    </i>
    <i>
      <x v="65"/>
      <x v="165"/>
    </i>
    <i>
      <x v="66"/>
      <x v="169"/>
    </i>
    <i>
      <x v="67"/>
      <x v="170"/>
    </i>
    <i>
      <x v="68"/>
      <x v="171"/>
    </i>
    <i>
      <x v="69"/>
      <x v="172"/>
    </i>
    <i>
      <x v="70"/>
      <x v="175"/>
    </i>
    <i>
      <x v="71"/>
      <x v="176"/>
    </i>
    <i>
      <x v="72"/>
      <x v="177"/>
    </i>
    <i>
      <x v="73"/>
      <x v="178"/>
    </i>
    <i>
      <x v="74"/>
      <x v="179"/>
    </i>
    <i>
      <x v="75"/>
      <x v="180"/>
    </i>
    <i>
      <x v="76"/>
      <x v="181"/>
    </i>
    <i>
      <x v="77"/>
      <x v="182"/>
    </i>
    <i>
      <x v="78"/>
      <x v="183"/>
    </i>
    <i>
      <x v="79"/>
      <x v="184"/>
    </i>
    <i>
      <x v="80"/>
      <x v="185"/>
    </i>
    <i>
      <x v="81"/>
      <x v="279"/>
    </i>
    <i>
      <x v="82"/>
      <x v="262"/>
    </i>
    <i>
      <x v="83"/>
      <x v="278"/>
    </i>
    <i>
      <x v="84"/>
      <x v="314"/>
    </i>
    <i>
      <x v="85"/>
      <x v="315"/>
    </i>
    <i>
      <x v="86"/>
      <x v="329"/>
    </i>
    <i>
      <x v="87"/>
      <x v="330"/>
    </i>
    <i>
      <x v="88"/>
      <x v="247"/>
    </i>
    <i>
      <x v="89"/>
      <x v="327"/>
    </i>
    <i>
      <x v="90"/>
      <x v="255"/>
    </i>
    <i>
      <x v="91"/>
      <x v="257"/>
    </i>
    <i>
      <x v="92"/>
      <x v="199"/>
    </i>
    <i>
      <x v="93"/>
      <x v="200"/>
    </i>
    <i>
      <x v="94"/>
      <x v="325"/>
    </i>
    <i>
      <x v="95"/>
      <x v="201"/>
    </i>
    <i>
      <x v="96"/>
      <x v="202"/>
    </i>
    <i>
      <x v="97"/>
      <x v="203"/>
    </i>
    <i>
      <x v="98"/>
      <x v="204"/>
    </i>
    <i>
      <x v="99"/>
      <x v="206"/>
    </i>
    <i>
      <x v="100"/>
      <x v="207"/>
    </i>
    <i>
      <x v="101"/>
      <x v="208"/>
    </i>
    <i>
      <x v="102"/>
      <x v="209"/>
    </i>
    <i>
      <x v="103"/>
      <x v="211"/>
    </i>
    <i>
      <x v="104"/>
      <x v="212"/>
    </i>
    <i>
      <x v="105"/>
      <x v="213"/>
    </i>
    <i>
      <x v="106"/>
      <x v="309"/>
    </i>
    <i>
      <x v="107"/>
      <x v="215"/>
    </i>
    <i>
      <x v="108"/>
      <x v="216"/>
    </i>
    <i>
      <x v="109"/>
      <x v="288"/>
    </i>
    <i>
      <x v="110"/>
      <x v="218"/>
    </i>
    <i>
      <x v="111"/>
      <x v="220"/>
    </i>
    <i>
      <x v="112"/>
      <x v="72"/>
    </i>
    <i>
      <x v="113"/>
      <x v="267"/>
    </i>
    <i>
      <x v="114"/>
      <x v="306"/>
    </i>
    <i>
      <x v="115"/>
      <x v="331"/>
    </i>
    <i>
      <x v="116"/>
      <x v="332"/>
    </i>
    <i>
      <x v="117"/>
      <x v="271"/>
    </i>
    <i>
      <x v="118"/>
      <x v="222"/>
    </i>
    <i>
      <x v="119"/>
      <x v="223"/>
    </i>
    <i>
      <x v="120"/>
      <x v="224"/>
    </i>
    <i>
      <x v="121"/>
      <x v="225"/>
    </i>
    <i>
      <x v="122"/>
      <x v="226"/>
    </i>
    <i>
      <x v="123"/>
      <x v="291"/>
    </i>
    <i>
      <x v="124"/>
      <x v="228"/>
    </i>
    <i>
      <x v="125"/>
      <x v="229"/>
    </i>
    <i>
      <x v="126"/>
      <x v="230"/>
    </i>
    <i>
      <x v="127"/>
      <x v="235"/>
    </i>
    <i>
      <x v="128"/>
      <x v="236"/>
    </i>
    <i>
      <x v="129"/>
      <x v="284"/>
    </i>
    <i>
      <x v="130"/>
      <x v="274"/>
    </i>
    <i>
      <x v="131"/>
      <x v="275"/>
    </i>
    <i>
      <x v="132"/>
      <x v="289"/>
    </i>
    <i>
      <x v="133"/>
      <x v="290"/>
    </i>
    <i>
      <x v="134"/>
      <x v="277"/>
    </i>
    <i>
      <x v="135"/>
      <x v="93"/>
    </i>
    <i>
      <x v="136"/>
      <x v="280"/>
    </i>
    <i>
      <x v="137"/>
      <x v="96"/>
    </i>
    <i>
      <x v="138"/>
      <x v="117"/>
    </i>
    <i r="1">
      <x v="337"/>
    </i>
    <i>
      <x v="139"/>
      <x v="281"/>
    </i>
    <i>
      <x v="140"/>
      <x v="292"/>
    </i>
    <i>
      <x v="141"/>
      <x v="307"/>
    </i>
    <i>
      <x v="142"/>
      <x v="282"/>
    </i>
    <i>
      <x v="143"/>
      <x v="316"/>
    </i>
    <i>
      <x v="144"/>
      <x v="317"/>
    </i>
    <i>
      <x v="145"/>
      <x v="293"/>
    </i>
    <i>
      <x v="146"/>
      <x v="294"/>
    </i>
    <i>
      <x v="147"/>
      <x v="318"/>
    </i>
    <i>
      <x v="148"/>
      <x v="296"/>
    </i>
    <i>
      <x v="149"/>
      <x v="298"/>
    </i>
    <i>
      <x v="150"/>
      <x v="301"/>
    </i>
    <i>
      <x v="151"/>
      <x v="302"/>
    </i>
    <i>
      <x v="152"/>
      <x v="20"/>
    </i>
    <i>
      <x v="153"/>
      <x v="303"/>
    </i>
    <i>
      <x v="154"/>
      <x v="304"/>
    </i>
    <i>
      <x v="155"/>
      <x v="305"/>
    </i>
    <i>
      <x v="156"/>
      <x v="310"/>
    </i>
    <i>
      <x v="157"/>
      <x v="311"/>
    </i>
    <i>
      <x v="158"/>
      <x v="312"/>
    </i>
    <i>
      <x v="159"/>
      <x v="313"/>
    </i>
    <i>
      <x v="160"/>
      <x v="247"/>
    </i>
    <i>
      <x v="161"/>
      <x v="338"/>
    </i>
    <i t="grand">
      <x/>
    </i>
  </rowItems>
  <colFields count="2">
    <field x="0"/>
    <field x="1"/>
  </colFields>
  <colItems count="21">
    <i>
      <x v="3"/>
      <x v="3"/>
    </i>
    <i>
      <x v="6"/>
      <x v="40"/>
    </i>
    <i>
      <x v="8"/>
      <x v="8"/>
    </i>
    <i>
      <x v="9"/>
      <x v="9"/>
    </i>
    <i>
      <x v="10"/>
      <x v="10"/>
    </i>
    <i r="1">
      <x v="11"/>
    </i>
    <i>
      <x v="12"/>
      <x v="13"/>
    </i>
    <i>
      <x v="14"/>
      <x v="15"/>
    </i>
    <i>
      <x v="15"/>
      <x v="30"/>
    </i>
    <i>
      <x v="16"/>
      <x v="31"/>
    </i>
    <i>
      <x v="17"/>
      <x v="32"/>
    </i>
    <i>
      <x v="18"/>
      <x v="33"/>
    </i>
    <i>
      <x v="20"/>
      <x v="37"/>
    </i>
    <i>
      <x v="21"/>
      <x v="3"/>
    </i>
    <i>
      <x v="22"/>
      <x v="34"/>
    </i>
    <i>
      <x v="23"/>
      <x v="12"/>
    </i>
    <i>
      <x v="24"/>
      <x v="38"/>
    </i>
    <i>
      <x v="25"/>
      <x v="35"/>
    </i>
    <i r="1">
      <x v="36"/>
    </i>
    <i>
      <x v="26"/>
      <x v="39"/>
    </i>
    <i t="grand">
      <x/>
    </i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170E9-2468-44F1-8BDD-22836700A5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W168" firstHeaderRow="1" firstDataRow="4" firstDataCol="2"/>
  <pivotFields count="6">
    <pivotField axis="axisCol" compact="0" outline="0" showAll="0" defaultSubtotal="0">
      <items count="28">
        <item sd="0" m="1" x="24"/>
        <item m="1" x="23"/>
        <item m="1" x="22"/>
        <item x="17"/>
        <item m="1" x="25"/>
        <item m="1" x="26"/>
        <item x="16"/>
        <item m="1" x="27"/>
        <item x="0"/>
        <item x="1"/>
        <item x="2"/>
        <item m="1" x="19"/>
        <item x="3"/>
        <item m="1" x="20"/>
        <item x="7"/>
        <item x="5"/>
        <item x="6"/>
        <item x="10"/>
        <item x="9"/>
        <item m="1" x="21"/>
        <item x="14"/>
        <item x="4"/>
        <item x="8"/>
        <item x="11"/>
        <item x="12"/>
        <item x="13"/>
        <item x="15"/>
        <item m="1" x="18"/>
      </items>
    </pivotField>
    <pivotField axis="axisCol" compact="0" outline="0" showAll="0" defaultSubtotal="0">
      <items count="41">
        <item m="1" x="34"/>
        <item m="1" x="35"/>
        <item m="1" x="36"/>
        <item x="5"/>
        <item m="1" x="37"/>
        <item m="1" x="38"/>
        <item m="1" x="39"/>
        <item m="1" x="40"/>
        <item x="0"/>
        <item x="1"/>
        <item x="2"/>
        <item x="3"/>
        <item x="12"/>
        <item x="4"/>
        <item m="1" x="33"/>
        <item x="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6"/>
        <item x="7"/>
        <item x="11"/>
        <item x="10"/>
        <item x="9"/>
        <item x="15"/>
        <item x="14"/>
        <item x="16"/>
        <item x="13"/>
        <item x="17"/>
        <item x="18"/>
      </items>
    </pivotField>
    <pivotField axis="axisRow" compact="0" outline="0" showAll="0" defaultSubtotal="0">
      <items count="162">
        <item x="90"/>
        <item x="149"/>
        <item x="10"/>
        <item x="55"/>
        <item x="78"/>
        <item x="146"/>
        <item x="102"/>
        <item x="5"/>
        <item x="54"/>
        <item x="155"/>
        <item x="127"/>
        <item x="84"/>
        <item x="89"/>
        <item x="147"/>
        <item x="148"/>
        <item x="45"/>
        <item x="95"/>
        <item x="6"/>
        <item x="53"/>
        <item x="156"/>
        <item x="128"/>
        <item x="87"/>
        <item x="150"/>
        <item x="58"/>
        <item x="125"/>
        <item x="80"/>
        <item x="38"/>
        <item x="9"/>
        <item x="43"/>
        <item x="65"/>
        <item x="69"/>
        <item x="26"/>
        <item x="115"/>
        <item x="81"/>
        <item x="88"/>
        <item x="8"/>
        <item x="75"/>
        <item x="19"/>
        <item x="152"/>
        <item x="119"/>
        <item x="7"/>
        <item x="70"/>
        <item x="117"/>
        <item x="118"/>
        <item x="71"/>
        <item x="122"/>
        <item x="0"/>
        <item x="96"/>
        <item x="63"/>
        <item x="74"/>
        <item x="2"/>
        <item x="3"/>
        <item x="46"/>
        <item x="82"/>
        <item x="83"/>
        <item x="77"/>
        <item x="126"/>
        <item x="94"/>
        <item x="76"/>
        <item x="85"/>
        <item x="99"/>
        <item x="161"/>
        <item x="57"/>
        <item x="1"/>
        <item x="4"/>
        <item x="116"/>
        <item x="120"/>
        <item x="121"/>
        <item x="123"/>
        <item x="124"/>
        <item x="98"/>
        <item x="129"/>
        <item x="130"/>
        <item x="131"/>
        <item x="132"/>
        <item x="133"/>
        <item x="134"/>
        <item x="135"/>
        <item x="136"/>
        <item x="11"/>
        <item x="12"/>
        <item x="13"/>
        <item x="14"/>
        <item x="15"/>
        <item x="16"/>
        <item x="17"/>
        <item x="100"/>
        <item x="101"/>
        <item x="86"/>
        <item x="64"/>
        <item x="73"/>
        <item x="79"/>
        <item x="91"/>
        <item x="92"/>
        <item x="93"/>
        <item x="59"/>
        <item x="60"/>
        <item x="61"/>
        <item x="62"/>
        <item x="66"/>
        <item x="67"/>
        <item x="68"/>
        <item x="72"/>
        <item x="110"/>
        <item x="111"/>
        <item x="112"/>
        <item x="56"/>
        <item x="113"/>
        <item x="114"/>
        <item x="29"/>
        <item x="97"/>
        <item x="103"/>
        <item x="104"/>
        <item x="105"/>
        <item x="106"/>
        <item x="107"/>
        <item x="108"/>
        <item x="109"/>
        <item x="143"/>
        <item x="141"/>
        <item x="142"/>
        <item x="144"/>
        <item x="145"/>
        <item x="21"/>
        <item x="151"/>
        <item x="153"/>
        <item x="154"/>
        <item x="157"/>
        <item x="158"/>
        <item x="18"/>
        <item x="20"/>
        <item x="22"/>
        <item x="23"/>
        <item x="24"/>
        <item x="25"/>
        <item x="27"/>
        <item x="28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44"/>
        <item x="47"/>
        <item x="48"/>
        <item x="49"/>
        <item x="50"/>
        <item x="51"/>
        <item x="52"/>
        <item x="137"/>
        <item x="138"/>
        <item x="139"/>
        <item x="140"/>
        <item x="159"/>
        <item x="160"/>
      </items>
    </pivotField>
    <pivotField axis="axisRow" compact="0" outline="0" showAll="0" defaultSubtotal="0">
      <items count="339">
        <item m="1" x="270"/>
        <item m="1" x="242"/>
        <item m="1" x="272"/>
        <item m="1" x="248"/>
        <item m="1" x="233"/>
        <item x="124"/>
        <item m="1" x="186"/>
        <item m="1" x="232"/>
        <item m="1" x="187"/>
        <item x="98"/>
        <item m="1" x="329"/>
        <item m="1" x="331"/>
        <item m="1" x="256"/>
        <item m="1" x="334"/>
        <item m="1" x="333"/>
        <item m="1" x="271"/>
        <item m="1" x="269"/>
        <item m="1" x="268"/>
        <item m="1" x="267"/>
        <item m="1" x="266"/>
        <item x="49"/>
        <item m="1" x="227"/>
        <item m="1" x="197"/>
        <item m="1" x="289"/>
        <item m="1" x="313"/>
        <item m="1" x="241"/>
        <item m="1" x="239"/>
        <item m="1" x="240"/>
        <item m="1" x="275"/>
        <item m="1" x="285"/>
        <item m="1" x="319"/>
        <item m="1" x="320"/>
        <item m="1" x="300"/>
        <item m="1" x="299"/>
        <item m="1" x="174"/>
        <item m="1" x="325"/>
        <item x="147"/>
        <item m="1" x="314"/>
        <item m="1" x="324"/>
        <item m="1" x="243"/>
        <item m="1" x="278"/>
        <item m="1" x="167"/>
        <item m="1" x="279"/>
        <item m="1" x="282"/>
        <item m="1" x="281"/>
        <item m="1" x="280"/>
        <item m="1" x="332"/>
        <item m="1" x="323"/>
        <item m="1" x="258"/>
        <item m="1" x="265"/>
        <item m="1" x="273"/>
        <item m="1" x="277"/>
        <item m="1" x="237"/>
        <item m="1" x="308"/>
        <item m="1" x="238"/>
        <item m="1" x="326"/>
        <item m="1" x="315"/>
        <item m="1" x="254"/>
        <item m="1" x="251"/>
        <item m="1" x="234"/>
        <item m="1" x="184"/>
        <item m="1" x="235"/>
        <item m="1" x="304"/>
        <item m="1" x="236"/>
        <item x="150"/>
        <item m="1" x="316"/>
        <item m="1" x="209"/>
        <item x="19"/>
        <item m="1" x="257"/>
        <item m="1" x="255"/>
        <item m="1" x="245"/>
        <item m="1" x="303"/>
        <item x="103"/>
        <item x="8"/>
        <item m="1" x="261"/>
        <item m="1" x="311"/>
        <item m="1" x="309"/>
        <item m="1" x="310"/>
        <item m="1" x="262"/>
        <item m="1" x="264"/>
        <item m="1" x="328"/>
        <item m="1" x="318"/>
        <item m="1" x="290"/>
        <item m="1" x="291"/>
        <item m="1" x="230"/>
        <item m="1" x="229"/>
        <item m="1" x="292"/>
        <item m="1" x="293"/>
        <item m="1" x="294"/>
        <item m="1" x="228"/>
        <item m="1" x="164"/>
        <item m="1" x="295"/>
        <item m="1" x="276"/>
        <item x="27"/>
        <item m="1" x="296"/>
        <item m="1" x="297"/>
        <item x="30"/>
        <item m="1" x="298"/>
        <item m="1" x="274"/>
        <item x="63"/>
        <item x="74"/>
        <item m="1" x="307"/>
        <item m="1" x="327"/>
        <item m="1" x="306"/>
        <item x="95"/>
        <item m="1" x="305"/>
        <item m="1" x="288"/>
        <item x="146"/>
        <item m="1" x="246"/>
        <item m="1" x="163"/>
        <item m="1" x="161"/>
        <item m="1" x="286"/>
        <item x="144"/>
        <item m="1" x="287"/>
        <item m="1" x="284"/>
        <item m="1" x="312"/>
        <item m="1" x="321"/>
        <item x="31"/>
        <item m="1" x="322"/>
        <item m="1" x="259"/>
        <item m="1" x="244"/>
        <item m="1" x="252"/>
        <item x="145"/>
        <item x="148"/>
        <item x="58"/>
        <item m="1" x="317"/>
        <item m="1" x="191"/>
        <item m="1" x="192"/>
        <item m="1" x="172"/>
        <item x="65"/>
        <item x="69"/>
        <item x="114"/>
        <item m="1" x="198"/>
        <item m="1" x="283"/>
        <item m="1" x="189"/>
        <item x="80"/>
        <item m="1" x="171"/>
        <item m="1" x="247"/>
        <item m="1" x="260"/>
        <item m="1" x="253"/>
        <item m="1" x="263"/>
        <item m="1" x="330"/>
        <item x="116"/>
        <item x="117"/>
        <item x="71"/>
        <item m="1" x="249"/>
        <item m="1" x="250"/>
        <item m="1" x="231"/>
        <item x="121"/>
        <item x="0"/>
        <item m="1" x="301"/>
        <item m="1" x="165"/>
        <item m="1" x="302"/>
        <item x="158"/>
        <item m="1" x="335"/>
        <item m="1" x="336"/>
        <item m="1" x="337"/>
        <item m="1" x="166"/>
        <item x="57"/>
        <item m="1" x="338"/>
        <item m="1" x="224"/>
        <item x="1"/>
        <item m="1" x="162"/>
        <item x="3"/>
        <item x="4"/>
        <item x="115"/>
        <item x="70"/>
        <item x="118"/>
        <item m="1" x="190"/>
        <item x="119"/>
        <item x="120"/>
        <item x="122"/>
        <item x="123"/>
        <item m="1" x="182"/>
        <item m="1" x="193"/>
        <item x="97"/>
        <item x="127"/>
        <item x="128"/>
        <item x="129"/>
        <item x="130"/>
        <item x="131"/>
        <item x="132"/>
        <item x="133"/>
        <item x="134"/>
        <item x="11"/>
        <item x="12"/>
        <item m="1" x="215"/>
        <item x="55"/>
        <item m="1" x="194"/>
        <item m="1" x="195"/>
        <item m="1" x="196"/>
        <item m="1" x="178"/>
        <item x="7"/>
        <item m="1" x="179"/>
        <item x="75"/>
        <item m="1" x="180"/>
        <item m="1" x="181"/>
        <item m="1" x="159"/>
        <item x="89"/>
        <item x="90"/>
        <item x="91"/>
        <item x="59"/>
        <item x="60"/>
        <item x="61"/>
        <item x="62"/>
        <item m="1" x="176"/>
        <item x="66"/>
        <item x="67"/>
        <item x="68"/>
        <item x="72"/>
        <item m="1" x="177"/>
        <item x="109"/>
        <item x="110"/>
        <item x="111"/>
        <item m="1" x="188"/>
        <item x="112"/>
        <item x="113"/>
        <item m="1" x="173"/>
        <item x="96"/>
        <item m="1" x="185"/>
        <item x="102"/>
        <item x="93"/>
        <item x="141"/>
        <item x="139"/>
        <item x="140"/>
        <item x="142"/>
        <item x="143"/>
        <item m="1" x="169"/>
        <item x="149"/>
        <item x="151"/>
        <item x="152"/>
        <item m="1" x="199"/>
        <item x="153"/>
        <item m="1" x="200"/>
        <item m="1" x="201"/>
        <item x="154"/>
        <item x="155"/>
        <item x="77"/>
        <item x="5"/>
        <item m="1" x="204"/>
        <item m="1" x="202"/>
        <item x="10"/>
        <item x="81"/>
        <item m="1" x="205"/>
        <item m="1" x="206"/>
        <item m="1" x="207"/>
        <item x="101"/>
        <item x="85"/>
        <item x="125"/>
        <item x="126"/>
        <item x="38"/>
        <item x="86"/>
        <item m="1" x="203"/>
        <item m="1" x="208"/>
        <item m="1" x="160"/>
        <item x="73"/>
        <item m="1" x="210"/>
        <item x="79"/>
        <item m="1" x="225"/>
        <item m="1" x="211"/>
        <item m="1" x="212"/>
        <item m="1" x="221"/>
        <item x="14"/>
        <item m="1" x="222"/>
        <item m="1" x="213"/>
        <item m="1" x="214"/>
        <item m="1" x="226"/>
        <item x="104"/>
        <item m="1" x="223"/>
        <item m="1" x="216"/>
        <item m="1" x="217"/>
        <item x="108"/>
        <item x="94"/>
        <item m="1" x="168"/>
        <item x="20"/>
        <item x="22"/>
        <item m="1" x="170"/>
        <item x="25"/>
        <item x="15"/>
        <item x="13"/>
        <item x="28"/>
        <item x="32"/>
        <item x="35"/>
        <item m="1" x="218"/>
        <item x="18"/>
        <item m="1" x="175"/>
        <item x="6"/>
        <item m="1" x="219"/>
        <item x="29"/>
        <item x="23"/>
        <item x="24"/>
        <item x="21"/>
        <item x="33"/>
        <item x="39"/>
        <item x="40"/>
        <item m="1" x="220"/>
        <item x="42"/>
        <item x="43"/>
        <item x="44"/>
        <item x="45"/>
        <item x="46"/>
        <item x="47"/>
        <item x="48"/>
        <item x="50"/>
        <item x="51"/>
        <item x="52"/>
        <item x="105"/>
        <item x="34"/>
        <item x="53"/>
        <item x="56"/>
        <item x="135"/>
        <item x="136"/>
        <item x="137"/>
        <item x="138"/>
        <item x="16"/>
        <item x="17"/>
        <item x="36"/>
        <item x="37"/>
        <item x="41"/>
        <item x="78"/>
        <item m="1" x="183"/>
        <item x="82"/>
        <item x="83"/>
        <item x="87"/>
        <item x="88"/>
        <item x="92"/>
        <item x="26"/>
        <item x="64"/>
        <item x="54"/>
        <item x="99"/>
        <item x="100"/>
        <item x="106"/>
        <item x="107"/>
        <item x="2"/>
        <item x="9"/>
        <item x="76"/>
        <item x="84"/>
        <item x="156"/>
        <item x="157"/>
      </items>
    </pivotField>
    <pivotField dataField="1" compact="0" outline="0" showAll="0" defaultSubtotal="0"/>
    <pivotField axis="axisCol" compact="0" outline="0" showAll="0" defaultSubtotal="0">
      <items count="16">
        <item m="1" x="12"/>
        <item m="1" x="10"/>
        <item n="9/10/2026" m="1" x="11"/>
        <item x="8"/>
        <item m="1" x="13"/>
        <item m="1" x="14"/>
        <item m="1" x="15"/>
        <item x="0"/>
        <item x="1"/>
        <item x="3"/>
        <item x="4"/>
        <item x="5"/>
        <item m="1" x="9"/>
        <item x="2"/>
        <item x="6"/>
        <item x="7"/>
      </items>
    </pivotField>
  </pivotFields>
  <rowFields count="2">
    <field x="2"/>
    <field x="3"/>
  </rowFields>
  <rowItems count="164">
    <i>
      <x/>
      <x v="198"/>
    </i>
    <i>
      <x v="1"/>
      <x v="36"/>
    </i>
    <i>
      <x v="2"/>
      <x v="241"/>
    </i>
    <i>
      <x v="3"/>
      <x v="187"/>
    </i>
    <i>
      <x v="4"/>
      <x v="319"/>
    </i>
    <i>
      <x v="5"/>
      <x v="112"/>
    </i>
    <i>
      <x v="6"/>
      <x v="246"/>
    </i>
    <i>
      <x v="7"/>
      <x v="238"/>
    </i>
    <i>
      <x v="8"/>
      <x v="328"/>
    </i>
    <i>
      <x v="9"/>
      <x v="232"/>
    </i>
    <i>
      <x v="10"/>
      <x v="248"/>
    </i>
    <i>
      <x v="11"/>
      <x v="322"/>
    </i>
    <i>
      <x v="12"/>
      <x v="324"/>
    </i>
    <i>
      <x v="13"/>
      <x v="122"/>
    </i>
    <i>
      <x v="14"/>
      <x v="107"/>
    </i>
    <i>
      <x v="15"/>
      <x v="299"/>
    </i>
    <i>
      <x v="16"/>
      <x v="272"/>
    </i>
    <i>
      <x v="17"/>
      <x v="286"/>
    </i>
    <i>
      <x v="18"/>
      <x v="308"/>
    </i>
    <i>
      <x v="19"/>
      <x v="249"/>
    </i>
    <i>
      <x v="20"/>
      <x v="249"/>
    </i>
    <i>
      <x v="21"/>
      <x v="251"/>
    </i>
    <i>
      <x v="22"/>
      <x v="123"/>
    </i>
    <i>
      <x v="23"/>
      <x v="124"/>
    </i>
    <i>
      <x v="24"/>
      <x v="250"/>
    </i>
    <i>
      <x v="25"/>
      <x v="250"/>
    </i>
    <i>
      <x v="26"/>
      <x v="250"/>
    </i>
    <i>
      <x v="27"/>
      <x v="334"/>
    </i>
    <i>
      <x v="28"/>
      <x v="297"/>
    </i>
    <i>
      <x v="29"/>
      <x v="129"/>
    </i>
    <i>
      <x v="30"/>
      <x v="130"/>
    </i>
    <i>
      <x v="31"/>
      <x v="326"/>
    </i>
    <i>
      <x v="32"/>
      <x v="131"/>
    </i>
    <i>
      <x v="33"/>
      <x v="135"/>
    </i>
    <i>
      <x v="34"/>
      <x v="323"/>
    </i>
    <i>
      <x v="35"/>
      <x v="73"/>
    </i>
    <i>
      <x v="36"/>
      <x v="194"/>
    </i>
    <i>
      <x v="37"/>
      <x v="67"/>
    </i>
    <i>
      <x v="38"/>
      <x v="64"/>
    </i>
    <i>
      <x v="39"/>
      <x v="167"/>
    </i>
    <i>
      <x v="40"/>
      <x v="192"/>
    </i>
    <i>
      <x v="41"/>
      <x v="166"/>
    </i>
    <i>
      <x v="42"/>
      <x v="142"/>
    </i>
    <i>
      <x v="43"/>
      <x v="143"/>
    </i>
    <i>
      <x v="44"/>
      <x v="144"/>
    </i>
    <i>
      <x v="45"/>
      <x v="148"/>
    </i>
    <i>
      <x v="46"/>
      <x v="149"/>
    </i>
    <i>
      <x v="47"/>
      <x v="104"/>
    </i>
    <i>
      <x v="48"/>
      <x v="99"/>
    </i>
    <i>
      <x v="49"/>
      <x v="100"/>
    </i>
    <i>
      <x v="50"/>
      <x v="333"/>
    </i>
    <i>
      <x v="51"/>
      <x v="163"/>
    </i>
    <i>
      <x v="52"/>
      <x v="300"/>
    </i>
    <i>
      <x v="53"/>
      <x v="242"/>
    </i>
    <i>
      <x v="54"/>
      <x v="321"/>
    </i>
    <i>
      <x v="55"/>
      <x v="237"/>
    </i>
    <i>
      <x v="56"/>
      <x v="5"/>
    </i>
    <i>
      <x v="57"/>
      <x v="221"/>
    </i>
    <i>
      <x v="58"/>
      <x v="335"/>
    </i>
    <i>
      <x v="59"/>
      <x v="336"/>
    </i>
    <i>
      <x v="60"/>
      <x v="9"/>
    </i>
    <i>
      <x v="61"/>
      <x v="153"/>
    </i>
    <i>
      <x v="62"/>
      <x v="158"/>
    </i>
    <i>
      <x v="63"/>
      <x v="161"/>
    </i>
    <i>
      <x v="64"/>
      <x v="164"/>
    </i>
    <i>
      <x v="65"/>
      <x v="165"/>
    </i>
    <i>
      <x v="66"/>
      <x v="169"/>
    </i>
    <i>
      <x v="67"/>
      <x v="170"/>
    </i>
    <i>
      <x v="68"/>
      <x v="171"/>
    </i>
    <i>
      <x v="69"/>
      <x v="172"/>
    </i>
    <i>
      <x v="70"/>
      <x v="175"/>
    </i>
    <i>
      <x v="71"/>
      <x v="176"/>
    </i>
    <i>
      <x v="72"/>
      <x v="177"/>
    </i>
    <i>
      <x v="73"/>
      <x v="178"/>
    </i>
    <i>
      <x v="74"/>
      <x v="179"/>
    </i>
    <i>
      <x v="75"/>
      <x v="180"/>
    </i>
    <i>
      <x v="76"/>
      <x v="181"/>
    </i>
    <i>
      <x v="77"/>
      <x v="182"/>
    </i>
    <i>
      <x v="78"/>
      <x v="183"/>
    </i>
    <i>
      <x v="79"/>
      <x v="184"/>
    </i>
    <i>
      <x v="80"/>
      <x v="185"/>
    </i>
    <i>
      <x v="81"/>
      <x v="279"/>
    </i>
    <i>
      <x v="82"/>
      <x v="262"/>
    </i>
    <i>
      <x v="83"/>
      <x v="278"/>
    </i>
    <i>
      <x v="84"/>
      <x v="314"/>
    </i>
    <i>
      <x v="85"/>
      <x v="315"/>
    </i>
    <i>
      <x v="86"/>
      <x v="329"/>
    </i>
    <i>
      <x v="87"/>
      <x v="330"/>
    </i>
    <i>
      <x v="88"/>
      <x v="247"/>
    </i>
    <i>
      <x v="89"/>
      <x v="327"/>
    </i>
    <i>
      <x v="90"/>
      <x v="255"/>
    </i>
    <i>
      <x v="91"/>
      <x v="257"/>
    </i>
    <i>
      <x v="92"/>
      <x v="199"/>
    </i>
    <i>
      <x v="93"/>
      <x v="200"/>
    </i>
    <i>
      <x v="94"/>
      <x v="325"/>
    </i>
    <i>
      <x v="95"/>
      <x v="201"/>
    </i>
    <i>
      <x v="96"/>
      <x v="202"/>
    </i>
    <i>
      <x v="97"/>
      <x v="203"/>
    </i>
    <i>
      <x v="98"/>
      <x v="204"/>
    </i>
    <i>
      <x v="99"/>
      <x v="206"/>
    </i>
    <i>
      <x v="100"/>
      <x v="207"/>
    </i>
    <i>
      <x v="101"/>
      <x v="208"/>
    </i>
    <i>
      <x v="102"/>
      <x v="209"/>
    </i>
    <i>
      <x v="103"/>
      <x v="211"/>
    </i>
    <i>
      <x v="104"/>
      <x v="212"/>
    </i>
    <i>
      <x v="105"/>
      <x v="213"/>
    </i>
    <i>
      <x v="106"/>
      <x v="309"/>
    </i>
    <i>
      <x v="107"/>
      <x v="215"/>
    </i>
    <i>
      <x v="108"/>
      <x v="216"/>
    </i>
    <i>
      <x v="109"/>
      <x v="288"/>
    </i>
    <i>
      <x v="110"/>
      <x v="218"/>
    </i>
    <i>
      <x v="111"/>
      <x v="220"/>
    </i>
    <i>
      <x v="112"/>
      <x v="72"/>
    </i>
    <i>
      <x v="113"/>
      <x v="267"/>
    </i>
    <i>
      <x v="114"/>
      <x v="306"/>
    </i>
    <i>
      <x v="115"/>
      <x v="331"/>
    </i>
    <i>
      <x v="116"/>
      <x v="332"/>
    </i>
    <i>
      <x v="117"/>
      <x v="271"/>
    </i>
    <i>
      <x v="118"/>
      <x v="222"/>
    </i>
    <i>
      <x v="119"/>
      <x v="223"/>
    </i>
    <i>
      <x v="120"/>
      <x v="224"/>
    </i>
    <i>
      <x v="121"/>
      <x v="225"/>
    </i>
    <i>
      <x v="122"/>
      <x v="226"/>
    </i>
    <i>
      <x v="123"/>
      <x v="291"/>
    </i>
    <i>
      <x v="124"/>
      <x v="228"/>
    </i>
    <i>
      <x v="125"/>
      <x v="229"/>
    </i>
    <i>
      <x v="126"/>
      <x v="230"/>
    </i>
    <i>
      <x v="127"/>
      <x v="235"/>
    </i>
    <i>
      <x v="128"/>
      <x v="236"/>
    </i>
    <i>
      <x v="129"/>
      <x v="284"/>
    </i>
    <i>
      <x v="130"/>
      <x v="274"/>
    </i>
    <i>
      <x v="131"/>
      <x v="275"/>
    </i>
    <i>
      <x v="132"/>
      <x v="289"/>
    </i>
    <i>
      <x v="133"/>
      <x v="290"/>
    </i>
    <i>
      <x v="134"/>
      <x v="277"/>
    </i>
    <i>
      <x v="135"/>
      <x v="93"/>
    </i>
    <i>
      <x v="136"/>
      <x v="280"/>
    </i>
    <i>
      <x v="137"/>
      <x v="96"/>
    </i>
    <i>
      <x v="138"/>
      <x v="117"/>
    </i>
    <i r="1">
      <x v="337"/>
    </i>
    <i>
      <x v="139"/>
      <x v="281"/>
    </i>
    <i>
      <x v="140"/>
      <x v="292"/>
    </i>
    <i>
      <x v="141"/>
      <x v="307"/>
    </i>
    <i>
      <x v="142"/>
      <x v="282"/>
    </i>
    <i>
      <x v="143"/>
      <x v="316"/>
    </i>
    <i>
      <x v="144"/>
      <x v="317"/>
    </i>
    <i>
      <x v="145"/>
      <x v="293"/>
    </i>
    <i>
      <x v="146"/>
      <x v="294"/>
    </i>
    <i>
      <x v="147"/>
      <x v="318"/>
    </i>
    <i>
      <x v="148"/>
      <x v="296"/>
    </i>
    <i>
      <x v="149"/>
      <x v="298"/>
    </i>
    <i>
      <x v="150"/>
      <x v="301"/>
    </i>
    <i>
      <x v="151"/>
      <x v="302"/>
    </i>
    <i>
      <x v="152"/>
      <x v="20"/>
    </i>
    <i>
      <x v="153"/>
      <x v="303"/>
    </i>
    <i>
      <x v="154"/>
      <x v="304"/>
    </i>
    <i>
      <x v="155"/>
      <x v="305"/>
    </i>
    <i>
      <x v="156"/>
      <x v="310"/>
    </i>
    <i>
      <x v="157"/>
      <x v="311"/>
    </i>
    <i>
      <x v="158"/>
      <x v="312"/>
    </i>
    <i>
      <x v="159"/>
      <x v="313"/>
    </i>
    <i>
      <x v="160"/>
      <x v="247"/>
    </i>
    <i>
      <x v="161"/>
      <x v="338"/>
    </i>
    <i t="grand">
      <x/>
    </i>
  </rowItems>
  <colFields count="3">
    <field x="5"/>
    <field x="1"/>
    <field x="0"/>
  </colFields>
  <colItems count="21">
    <i>
      <x v="3"/>
      <x v="3"/>
      <x v="3"/>
    </i>
    <i>
      <x v="7"/>
      <x v="8"/>
      <x v="8"/>
    </i>
    <i r="1">
      <x v="9"/>
      <x v="9"/>
    </i>
    <i r="1">
      <x v="10"/>
      <x v="10"/>
    </i>
    <i r="1">
      <x v="11"/>
      <x v="10"/>
    </i>
    <i r="1">
      <x v="35"/>
      <x v="25"/>
    </i>
    <i r="1">
      <x v="36"/>
      <x v="25"/>
    </i>
    <i r="1">
      <x v="37"/>
      <x v="20"/>
    </i>
    <i r="1">
      <x v="39"/>
      <x v="26"/>
    </i>
    <i>
      <x v="8"/>
      <x v="13"/>
      <x v="12"/>
    </i>
    <i>
      <x v="9"/>
      <x v="30"/>
      <x v="15"/>
    </i>
    <i>
      <x v="10"/>
      <x v="31"/>
      <x v="16"/>
    </i>
    <i>
      <x v="11"/>
      <x v="15"/>
      <x v="14"/>
    </i>
    <i r="1">
      <x v="32"/>
      <x v="17"/>
    </i>
    <i r="1">
      <x v="33"/>
      <x v="18"/>
    </i>
    <i r="1">
      <x v="34"/>
      <x v="22"/>
    </i>
    <i r="1">
      <x v="38"/>
      <x v="24"/>
    </i>
    <i>
      <x v="13"/>
      <x v="3"/>
      <x v="21"/>
    </i>
    <i>
      <x v="14"/>
      <x v="12"/>
      <x v="23"/>
    </i>
    <i>
      <x v="15"/>
      <x v="40"/>
      <x v="6"/>
    </i>
    <i t="grand">
      <x/>
    </i>
  </colItems>
  <dataFields count="1">
    <dataField name="Sum of Qty" fld="4" baseField="0" baseItem="0"/>
  </dataFields>
  <formats count="160">
    <format dxfId="172">
      <pivotArea grandCol="1" outline="0" collapsedLevelsAreSubtotals="1" fieldPosition="0"/>
    </format>
    <format dxfId="171">
      <pivotArea type="topRight" dataOnly="0" labelOnly="1" outline="0" offset="B1" fieldPosition="0"/>
    </format>
    <format dxfId="170">
      <pivotArea dataOnly="0" labelOnly="1" grandCol="1" outline="0" fieldPosition="0"/>
    </format>
    <format dxfId="169">
      <pivotArea grandCol="1" outline="0" collapsedLevelsAreSubtotals="1" fieldPosition="0"/>
    </format>
    <format dxfId="168">
      <pivotArea type="topRight" dataOnly="0" labelOnly="1" outline="0" offset="B1" fieldPosition="0"/>
    </format>
    <format dxfId="167">
      <pivotArea dataOnly="0" labelOnly="1" grandCol="1" outline="0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0" type="button" dataOnly="0" labelOnly="1" outline="0" axis="axisCol" fieldPosition="2"/>
    </format>
    <format dxfId="162">
      <pivotArea field="1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2" type="button" dataOnly="0" labelOnly="1" outline="0" axis="axisRow" fieldPosition="0"/>
    </format>
    <format dxfId="159">
      <pivotArea field="3" type="button" dataOnly="0" labelOnly="1" outline="0" axis="axisRow" fieldPosition="1"/>
    </format>
    <format dxfId="158">
      <pivotArea dataOnly="0" labelOnly="1" outline="0" fieldPosition="0">
        <references count="1">
          <reference field="2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57">
      <pivotArea dataOnly="0" labelOnly="1" outline="0" fieldPosition="0">
        <references count="1">
          <reference field="2" count="19"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156">
      <pivotArea dataOnly="0" labelOnly="1" outline="0" fieldPosition="0">
        <references count="1">
          <reference field="2" count="17"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55">
      <pivotArea dataOnly="0" labelOnly="1" outline="0" fieldPosition="0">
        <references count="1">
          <reference field="2" count="7">
            <x v="55"/>
            <x v="56"/>
            <x v="57"/>
            <x v="58"/>
            <x v="59"/>
            <x v="60"/>
            <x v="61"/>
          </reference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2">
          <reference field="2" count="1" selected="0">
            <x v="0"/>
          </reference>
          <reference field="3" count="3">
            <x v="47"/>
            <x v="48"/>
            <x v="153"/>
          </reference>
        </references>
      </pivotArea>
    </format>
    <format dxfId="152">
      <pivotArea dataOnly="0" labelOnly="1" outline="0" fieldPosition="0">
        <references count="2">
          <reference field="2" count="1" selected="0">
            <x v="1"/>
          </reference>
          <reference field="3" count="3">
            <x v="36"/>
            <x v="39"/>
            <x v="153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2"/>
          </reference>
          <reference field="3" count="1">
            <x v="41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3"/>
          </reference>
          <reference field="3" count="1">
            <x v="42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4"/>
          </reference>
          <reference field="3" count="1">
            <x v="153"/>
          </reference>
        </references>
      </pivotArea>
    </format>
    <format dxfId="148">
      <pivotArea dataOnly="0" labelOnly="1" outline="0" fieldPosition="0">
        <references count="2">
          <reference field="2" count="1" selected="0">
            <x v="5"/>
          </reference>
          <reference field="3" count="1">
            <x v="112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6"/>
          </reference>
          <reference field="3" count="1">
            <x v="153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7"/>
          </reference>
          <reference field="3" count="2">
            <x v="109"/>
            <x v="153"/>
          </reference>
        </references>
      </pivotArea>
    </format>
    <format dxfId="145">
      <pivotArea dataOnly="0" labelOnly="1" outline="0" fieldPosition="0">
        <references count="2">
          <reference field="2" count="1" selected="0">
            <x v="8"/>
          </reference>
          <reference field="3" count="1">
            <x v="110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9"/>
          </reference>
          <reference field="3" count="1">
            <x v="153"/>
          </reference>
        </references>
      </pivotArea>
    </format>
    <format dxfId="143">
      <pivotArea dataOnly="0" labelOnly="1" outline="0" fieldPosition="0">
        <references count="2">
          <reference field="2" count="1" selected="0">
            <x v="10"/>
          </reference>
          <reference field="3" count="1">
            <x v="153"/>
          </reference>
        </references>
      </pivotArea>
    </format>
    <format dxfId="142">
      <pivotArea dataOnly="0" labelOnly="1" outline="0" fieldPosition="0">
        <references count="2">
          <reference field="2" count="1" selected="0">
            <x v="11"/>
          </reference>
          <reference field="3" count="1">
            <x v="153"/>
          </reference>
        </references>
      </pivotArea>
    </format>
    <format dxfId="141">
      <pivotArea dataOnly="0" labelOnly="1" outline="0" fieldPosition="0">
        <references count="2">
          <reference field="2" count="1" selected="0">
            <x v="12"/>
          </reference>
          <reference field="3" count="2">
            <x v="114"/>
            <x v="153"/>
          </reference>
        </references>
      </pivotArea>
    </format>
    <format dxfId="140">
      <pivotArea dataOnly="0" labelOnly="1" outline="0" fieldPosition="0">
        <references count="2">
          <reference field="2" count="1" selected="0">
            <x v="13"/>
          </reference>
          <reference field="3" count="1">
            <x v="122"/>
          </reference>
        </references>
      </pivotArea>
    </format>
    <format dxfId="139">
      <pivotArea dataOnly="0" labelOnly="1" outline="0" fieldPosition="0">
        <references count="2">
          <reference field="2" count="1" selected="0">
            <x v="14"/>
          </reference>
          <reference field="3" count="1">
            <x v="107"/>
          </reference>
        </references>
      </pivotArea>
    </format>
    <format dxfId="138">
      <pivotArea dataOnly="0" labelOnly="1" outline="0" fieldPosition="0">
        <references count="2">
          <reference field="2" count="1" selected="0">
            <x v="15"/>
          </reference>
          <reference field="3" count="1">
            <x v="22"/>
          </reference>
        </references>
      </pivotArea>
    </format>
    <format dxfId="137">
      <pivotArea dataOnly="0" labelOnly="1" outline="0" fieldPosition="0">
        <references count="2">
          <reference field="2" count="1" selected="0">
            <x v="16"/>
          </reference>
          <reference field="3" count="1">
            <x v="153"/>
          </reference>
        </references>
      </pivotArea>
    </format>
    <format dxfId="136">
      <pivotArea dataOnly="0" labelOnly="1" outline="0" fieldPosition="0">
        <references count="2">
          <reference field="2" count="1" selected="0">
            <x v="17"/>
          </reference>
          <reference field="3" count="1">
            <x v="90"/>
          </reference>
        </references>
      </pivotArea>
    </format>
    <format dxfId="135">
      <pivotArea dataOnly="0" labelOnly="1" outline="0" fieldPosition="0">
        <references count="2">
          <reference field="2" count="1" selected="0">
            <x v="18"/>
          </reference>
          <reference field="3" count="1">
            <x v="91"/>
          </reference>
        </references>
      </pivotArea>
    </format>
    <format dxfId="134">
      <pivotArea dataOnly="0" labelOnly="1" outline="0" fieldPosition="0">
        <references count="2">
          <reference field="2" count="1" selected="0">
            <x v="19"/>
          </reference>
          <reference field="3" count="1">
            <x v="153"/>
          </reference>
        </references>
      </pivotArea>
    </format>
    <format dxfId="133">
      <pivotArea dataOnly="0" labelOnly="1" outline="0" fieldPosition="0">
        <references count="2">
          <reference field="2" count="1" selected="0">
            <x v="20"/>
          </reference>
          <reference field="3" count="1">
            <x v="153"/>
          </reference>
        </references>
      </pivotArea>
    </format>
    <format dxfId="132">
      <pivotArea dataOnly="0" labelOnly="1" outline="0" fieldPosition="0">
        <references count="2">
          <reference field="2" count="1" selected="0">
            <x v="21"/>
          </reference>
          <reference field="3" count="2">
            <x v="82"/>
            <x v="153"/>
          </reference>
        </references>
      </pivotArea>
    </format>
    <format dxfId="131">
      <pivotArea dataOnly="0" labelOnly="1" outline="0" fieldPosition="0">
        <references count="2">
          <reference field="2" count="1" selected="0">
            <x v="22"/>
          </reference>
          <reference field="3" count="1">
            <x v="123"/>
          </reference>
        </references>
      </pivotArea>
    </format>
    <format dxfId="130">
      <pivotArea dataOnly="0" labelOnly="1" outline="0" fieldPosition="0">
        <references count="2">
          <reference field="2" count="1" selected="0">
            <x v="23"/>
          </reference>
          <reference field="3" count="1">
            <x v="124"/>
          </reference>
        </references>
      </pivotArea>
    </format>
    <format dxfId="129">
      <pivotArea dataOnly="0" labelOnly="1" outline="0" fieldPosition="0">
        <references count="2">
          <reference field="2" count="1" selected="0">
            <x v="24"/>
          </reference>
          <reference field="3" count="1">
            <x v="126"/>
          </reference>
        </references>
      </pivotArea>
    </format>
    <format dxfId="128">
      <pivotArea dataOnly="0" labelOnly="1" outline="0" fieldPosition="0">
        <references count="2">
          <reference field="2" count="1" selected="0">
            <x v="25"/>
          </reference>
          <reference field="3" count="1">
            <x v="153"/>
          </reference>
        </references>
      </pivotArea>
    </format>
    <format dxfId="127">
      <pivotArea dataOnly="0" labelOnly="1" outline="0" fieldPosition="0">
        <references count="2">
          <reference field="2" count="1" selected="0">
            <x v="26"/>
          </reference>
          <reference field="3" count="2">
            <x v="127"/>
            <x v="153"/>
          </reference>
        </references>
      </pivotArea>
    </format>
    <format dxfId="126">
      <pivotArea dataOnly="0" labelOnly="1" outline="0" fieldPosition="0">
        <references count="2">
          <reference field="2" count="1" selected="0">
            <x v="27"/>
          </reference>
          <reference field="3" count="1">
            <x v="137"/>
          </reference>
        </references>
      </pivotArea>
    </format>
    <format dxfId="125">
      <pivotArea dataOnly="0" labelOnly="1" outline="0" fieldPosition="0">
        <references count="2">
          <reference field="2" count="1" selected="0">
            <x v="28"/>
          </reference>
          <reference field="3" count="2">
            <x v="132"/>
            <x v="153"/>
          </reference>
        </references>
      </pivotArea>
    </format>
    <format dxfId="124">
      <pivotArea dataOnly="0" labelOnly="1" outline="0" fieldPosition="0">
        <references count="2">
          <reference field="2" count="1" selected="0">
            <x v="29"/>
          </reference>
          <reference field="3" count="1">
            <x v="129"/>
          </reference>
        </references>
      </pivotArea>
    </format>
    <format dxfId="123">
      <pivotArea dataOnly="0" labelOnly="1" outline="0" fieldPosition="0">
        <references count="2">
          <reference field="2" count="1" selected="0">
            <x v="30"/>
          </reference>
          <reference field="3" count="2">
            <x v="130"/>
            <x v="153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31"/>
          </reference>
          <reference field="3" count="2">
            <x v="128"/>
            <x v="153"/>
          </reference>
        </references>
      </pivotArea>
    </format>
    <format dxfId="121">
      <pivotArea dataOnly="0" labelOnly="1" outline="0" fieldPosition="0">
        <references count="2">
          <reference field="2" count="1" selected="0">
            <x v="32"/>
          </reference>
          <reference field="3" count="1">
            <x v="131"/>
          </reference>
        </references>
      </pivotArea>
    </format>
    <format dxfId="120">
      <pivotArea dataOnly="0" labelOnly="1" outline="0" fieldPosition="0">
        <references count="2">
          <reference field="2" count="1" selected="0">
            <x v="33"/>
          </reference>
          <reference field="3" count="2">
            <x v="135"/>
            <x v="153"/>
          </reference>
        </references>
      </pivotArea>
    </format>
    <format dxfId="119">
      <pivotArea dataOnly="0" labelOnly="1" outline="0" fieldPosition="0">
        <references count="2">
          <reference field="2" count="1" selected="0">
            <x v="34"/>
          </reference>
          <reference field="3" count="2">
            <x v="134"/>
            <x v="153"/>
          </reference>
        </references>
      </pivotArea>
    </format>
    <format dxfId="118">
      <pivotArea dataOnly="0" labelOnly="1" outline="0" fieldPosition="0">
        <references count="2">
          <reference field="2" count="1" selected="0">
            <x v="35"/>
          </reference>
          <reference field="3" count="1">
            <x v="73"/>
          </reference>
        </references>
      </pivotArea>
    </format>
    <format dxfId="117">
      <pivotArea dataOnly="0" labelOnly="1" outline="0" fieldPosition="0">
        <references count="2">
          <reference field="2" count="1" selected="0">
            <x v="36"/>
          </reference>
          <reference field="3" count="1">
            <x v="66"/>
          </reference>
        </references>
      </pivotArea>
    </format>
    <format dxfId="116">
      <pivotArea dataOnly="0" labelOnly="1" outline="0" fieldPosition="0">
        <references count="2">
          <reference field="2" count="1" selected="0">
            <x v="37"/>
          </reference>
          <reference field="3" count="1">
            <x v="67"/>
          </reference>
        </references>
      </pivotArea>
    </format>
    <format dxfId="115">
      <pivotArea dataOnly="0" labelOnly="1" outline="0" fieldPosition="0">
        <references count="2">
          <reference field="2" count="1" selected="0">
            <x v="38"/>
          </reference>
          <reference field="3" count="1">
            <x v="64"/>
          </reference>
        </references>
      </pivotArea>
    </format>
    <format dxfId="114">
      <pivotArea dataOnly="0" labelOnly="1" outline="0" fieldPosition="0">
        <references count="2">
          <reference field="2" count="1" selected="0">
            <x v="39"/>
          </reference>
          <reference field="3" count="1">
            <x v="150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40"/>
          </reference>
          <reference field="3" count="1">
            <x v="151"/>
          </reference>
        </references>
      </pivotArea>
    </format>
    <format dxfId="112">
      <pivotArea dataOnly="0" labelOnly="1" outline="0" fieldPosition="0">
        <references count="2">
          <reference field="2" count="1" selected="0">
            <x v="41"/>
          </reference>
          <reference field="3" count="1">
            <x v="152"/>
          </reference>
        </references>
      </pivotArea>
    </format>
    <format dxfId="111">
      <pivotArea dataOnly="0" labelOnly="1" outline="0" fieldPosition="0">
        <references count="2">
          <reference field="2" count="1" selected="0">
            <x v="42"/>
          </reference>
          <reference field="3" count="1">
            <x v="142"/>
          </reference>
        </references>
      </pivotArea>
    </format>
    <format dxfId="110">
      <pivotArea dataOnly="0" labelOnly="1" outline="0" fieldPosition="0">
        <references count="2">
          <reference field="2" count="1" selected="0">
            <x v="43"/>
          </reference>
          <reference field="3" count="1">
            <x v="143"/>
          </reference>
        </references>
      </pivotArea>
    </format>
    <format dxfId="109">
      <pivotArea dataOnly="0" labelOnly="1" outline="0" fieldPosition="0">
        <references count="2">
          <reference field="2" count="1" selected="0">
            <x v="44"/>
          </reference>
          <reference field="3" count="1">
            <x v="144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45"/>
          </reference>
          <reference field="3" count="1">
            <x v="148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46"/>
          </reference>
          <reference field="3" count="1">
            <x v="149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47"/>
          </reference>
          <reference field="3" count="1">
            <x v="104"/>
          </reference>
        </references>
      </pivotArea>
    </format>
    <format dxfId="105">
      <pivotArea dataOnly="0" labelOnly="1" outline="0" fieldPosition="0">
        <references count="2">
          <reference field="2" count="1" selected="0">
            <x v="48"/>
          </reference>
          <reference field="3" count="1">
            <x v="99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49"/>
          </reference>
          <reference field="3" count="1">
            <x v="100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50"/>
          </reference>
          <reference field="3" count="1">
            <x v="60"/>
          </reference>
        </references>
      </pivotArea>
    </format>
    <format dxfId="102">
      <pivotArea dataOnly="0" labelOnly="1" outline="0" fieldPosition="0">
        <references count="2">
          <reference field="2" count="1" selected="0">
            <x v="51"/>
          </reference>
          <reference field="3" count="1">
            <x v="62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52"/>
          </reference>
          <reference field="3" count="1">
            <x v="153"/>
          </reference>
        </references>
      </pivotArea>
    </format>
    <format dxfId="100">
      <pivotArea dataOnly="0" labelOnly="1" outline="0" fieldPosition="0">
        <references count="2">
          <reference field="2" count="1" selected="0">
            <x v="53"/>
          </reference>
          <reference field="3" count="1">
            <x v="153"/>
          </reference>
        </references>
      </pivotArea>
    </format>
    <format dxfId="99">
      <pivotArea dataOnly="0" labelOnly="1" outline="0" fieldPosition="0">
        <references count="2">
          <reference field="2" count="1" selected="0">
            <x v="54"/>
          </reference>
          <reference field="3" count="1">
            <x v="153"/>
          </reference>
        </references>
      </pivotArea>
    </format>
    <format dxfId="98">
      <pivotArea dataOnly="0" labelOnly="1" outline="0" fieldPosition="0">
        <references count="2">
          <reference field="2" count="1" selected="0">
            <x v="55"/>
          </reference>
          <reference field="3" count="1">
            <x v="153"/>
          </reference>
        </references>
      </pivotArea>
    </format>
    <format dxfId="97">
      <pivotArea dataOnly="0" labelOnly="1" outline="0" fieldPosition="0">
        <references count="2">
          <reference field="2" count="1" selected="0">
            <x v="56"/>
          </reference>
          <reference field="3" count="1">
            <x v="5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57"/>
          </reference>
          <reference field="3" count="1">
            <x v="6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58"/>
          </reference>
          <reference field="3" count="1">
            <x v="7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59"/>
          </reference>
          <reference field="3" count="1">
            <x v="8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60"/>
          </reference>
          <reference field="3" count="1">
            <x v="9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61"/>
          </reference>
          <reference field="3" count="1">
            <x v="153"/>
          </reference>
        </references>
      </pivotArea>
    </format>
    <format dxfId="91">
      <pivotArea dataOnly="0" labelOnly="1" outline="0" fieldPosition="0">
        <references count="1">
          <reference field="0" count="0"/>
        </references>
      </pivotArea>
    </format>
    <format dxfId="90">
      <pivotArea dataOnly="0" labelOnly="1" grandCol="1" outline="0" fieldPosition="0"/>
    </format>
    <format dxfId="89">
      <pivotArea outline="0" fieldPosition="0">
        <references count="3">
          <reference field="0" count="0" selected="0"/>
          <reference field="1" count="0" selected="0"/>
          <reference field="5" count="0" selected="0"/>
        </references>
      </pivotArea>
    </format>
    <format dxfId="88">
      <pivotArea field="5" type="button" dataOnly="0" labelOnly="1" outline="0" axis="axisCol" fieldPosition="0"/>
    </format>
    <format dxfId="87">
      <pivotArea field="1" type="button" dataOnly="0" labelOnly="1" outline="0" axis="axisCol" fieldPosition="1"/>
    </format>
    <format dxfId="86">
      <pivotArea field="0" type="button" dataOnly="0" labelOnly="1" outline="0" axis="axisCol" fieldPosition="2"/>
    </format>
    <format dxfId="85">
      <pivotArea type="topRight" dataOnly="0" labelOnly="1" outline="0" fieldPosition="0"/>
    </format>
    <format dxfId="84">
      <pivotArea dataOnly="0" labelOnly="1" outline="0" fieldPosition="0">
        <references count="1">
          <reference field="5" count="0"/>
        </references>
      </pivotArea>
    </format>
    <format dxfId="83">
      <pivotArea dataOnly="0" labelOnly="1" outline="0" fieldPosition="0">
        <references count="2">
          <reference field="1" count="1">
            <x v="3"/>
          </reference>
          <reference field="5" count="1" selected="0">
            <x v="3"/>
          </reference>
        </references>
      </pivotArea>
    </format>
    <format dxfId="82">
      <pivotArea dataOnly="0" labelOnly="1" outline="0" fieldPosition="0">
        <references count="2">
          <reference field="1" count="8">
            <x v="8"/>
            <x v="9"/>
            <x v="10"/>
            <x v="11"/>
            <x v="35"/>
            <x v="36"/>
            <x v="37"/>
            <x v="39"/>
          </reference>
          <reference field="5" count="1" selected="0">
            <x v="7"/>
          </reference>
        </references>
      </pivotArea>
    </format>
    <format dxfId="81">
      <pivotArea dataOnly="0" labelOnly="1" outline="0" fieldPosition="0">
        <references count="2">
          <reference field="1" count="1">
            <x v="13"/>
          </reference>
          <reference field="5" count="1" selected="0">
            <x v="8"/>
          </reference>
        </references>
      </pivotArea>
    </format>
    <format dxfId="80">
      <pivotArea dataOnly="0" labelOnly="1" outline="0" fieldPosition="0">
        <references count="2">
          <reference field="1" count="1">
            <x v="30"/>
          </reference>
          <reference field="5" count="1" selected="0">
            <x v="9"/>
          </reference>
        </references>
      </pivotArea>
    </format>
    <format dxfId="79">
      <pivotArea dataOnly="0" labelOnly="1" outline="0" fieldPosition="0">
        <references count="2">
          <reference field="1" count="1">
            <x v="31"/>
          </reference>
          <reference field="5" count="1" selected="0">
            <x v="10"/>
          </reference>
        </references>
      </pivotArea>
    </format>
    <format dxfId="78">
      <pivotArea dataOnly="0" labelOnly="1" outline="0" fieldPosition="0">
        <references count="2">
          <reference field="1" count="5">
            <x v="15"/>
            <x v="32"/>
            <x v="33"/>
            <x v="34"/>
            <x v="38"/>
          </reference>
          <reference field="5" count="1" selected="0">
            <x v="11"/>
          </reference>
        </references>
      </pivotArea>
    </format>
    <format dxfId="77">
      <pivotArea dataOnly="0" labelOnly="1" outline="0" fieldPosition="0">
        <references count="2">
          <reference field="1" count="1">
            <x v="3"/>
          </reference>
          <reference field="5" count="1" selected="0">
            <x v="13"/>
          </reference>
        </references>
      </pivotArea>
    </format>
    <format dxfId="76">
      <pivotArea dataOnly="0" labelOnly="1" outline="0" fieldPosition="0">
        <references count="2">
          <reference field="1" count="1">
            <x v="12"/>
          </reference>
          <reference field="5" count="1" selected="0">
            <x v="14"/>
          </reference>
        </references>
      </pivotArea>
    </format>
    <format dxfId="75">
      <pivotArea dataOnly="0" labelOnly="1" outline="0" fieldPosition="0">
        <references count="3">
          <reference field="0" count="1">
            <x v="3"/>
          </reference>
          <reference field="1" count="1" selected="0">
            <x v="3"/>
          </reference>
          <reference field="5" count="1" selected="0">
            <x v="3"/>
          </reference>
        </references>
      </pivotArea>
    </format>
    <format dxfId="74">
      <pivotArea dataOnly="0" labelOnly="1" outline="0" fieldPosition="0">
        <references count="3">
          <reference field="0" count="1">
            <x v="8"/>
          </reference>
          <reference field="1" count="1" selected="0">
            <x v="8"/>
          </reference>
          <reference field="5" count="1" selected="0">
            <x v="7"/>
          </reference>
        </references>
      </pivotArea>
    </format>
    <format dxfId="73">
      <pivotArea dataOnly="0" labelOnly="1" outline="0" fieldPosition="0">
        <references count="3">
          <reference field="0" count="1">
            <x v="9"/>
          </reference>
          <reference field="1" count="1" selected="0">
            <x v="9"/>
          </reference>
          <reference field="5" count="1" selected="0">
            <x v="7"/>
          </reference>
        </references>
      </pivotArea>
    </format>
    <format dxfId="72">
      <pivotArea dataOnly="0" labelOnly="1" outline="0" fieldPosition="0">
        <references count="3">
          <reference field="0" count="1">
            <x v="10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71">
      <pivotArea dataOnly="0" labelOnly="1" outline="0" fieldPosition="0">
        <references count="3">
          <reference field="0" count="1">
            <x v="10"/>
          </reference>
          <reference field="1" count="1" selected="0">
            <x v="11"/>
          </reference>
          <reference field="5" count="1" selected="0">
            <x v="7"/>
          </reference>
        </references>
      </pivotArea>
    </format>
    <format dxfId="70">
      <pivotArea dataOnly="0" labelOnly="1" outline="0" fieldPosition="0">
        <references count="3">
          <reference field="0" count="1">
            <x v="25"/>
          </reference>
          <reference field="1" count="1" selected="0">
            <x v="35"/>
          </reference>
          <reference field="5" count="1" selected="0">
            <x v="7"/>
          </reference>
        </references>
      </pivotArea>
    </format>
    <format dxfId="69">
      <pivotArea dataOnly="0" labelOnly="1" outline="0" fieldPosition="0">
        <references count="3">
          <reference field="0" count="1">
            <x v="25"/>
          </reference>
          <reference field="1" count="1" selected="0">
            <x v="36"/>
          </reference>
          <reference field="5" count="1" selected="0">
            <x v="7"/>
          </reference>
        </references>
      </pivotArea>
    </format>
    <format dxfId="68">
      <pivotArea dataOnly="0" labelOnly="1" outline="0" fieldPosition="0">
        <references count="3">
          <reference field="0" count="1">
            <x v="20"/>
          </reference>
          <reference field="1" count="1" selected="0">
            <x v="37"/>
          </reference>
          <reference field="5" count="1" selected="0">
            <x v="7"/>
          </reference>
        </references>
      </pivotArea>
    </format>
    <format dxfId="67">
      <pivotArea dataOnly="0" labelOnly="1" outline="0" fieldPosition="0">
        <references count="3">
          <reference field="0" count="1">
            <x v="26"/>
          </reference>
          <reference field="1" count="1" selected="0">
            <x v="39"/>
          </reference>
          <reference field="5" count="1" selected="0">
            <x v="7"/>
          </reference>
        </references>
      </pivotArea>
    </format>
    <format dxfId="66">
      <pivotArea dataOnly="0" labelOnly="1" outline="0" fieldPosition="0">
        <references count="3">
          <reference field="0" count="1">
            <x v="12"/>
          </reference>
          <reference field="1" count="1" selected="0">
            <x v="13"/>
          </reference>
          <reference field="5" count="1" selected="0">
            <x v="8"/>
          </reference>
        </references>
      </pivotArea>
    </format>
    <format dxfId="65">
      <pivotArea dataOnly="0" labelOnly="1" outline="0" fieldPosition="0">
        <references count="3">
          <reference field="0" count="1">
            <x v="15"/>
          </reference>
          <reference field="1" count="1" selected="0">
            <x v="30"/>
          </reference>
          <reference field="5" count="1" selected="0">
            <x v="9"/>
          </reference>
        </references>
      </pivotArea>
    </format>
    <format dxfId="64">
      <pivotArea dataOnly="0" labelOnly="1" outline="0" fieldPosition="0">
        <references count="3">
          <reference field="0" count="1">
            <x v="16"/>
          </reference>
          <reference field="1" count="1" selected="0">
            <x v="31"/>
          </reference>
          <reference field="5" count="1" selected="0">
            <x v="10"/>
          </reference>
        </references>
      </pivotArea>
    </format>
    <format dxfId="63">
      <pivotArea dataOnly="0" labelOnly="1" outline="0" fieldPosition="0">
        <references count="3">
          <reference field="0" count="1">
            <x v="14"/>
          </reference>
          <reference field="1" count="1" selected="0">
            <x v="15"/>
          </reference>
          <reference field="5" count="1" selected="0">
            <x v="11"/>
          </reference>
        </references>
      </pivotArea>
    </format>
    <format dxfId="62">
      <pivotArea dataOnly="0" labelOnly="1" outline="0" fieldPosition="0">
        <references count="3">
          <reference field="0" count="1">
            <x v="17"/>
          </reference>
          <reference field="1" count="1" selected="0">
            <x v="32"/>
          </reference>
          <reference field="5" count="1" selected="0">
            <x v="11"/>
          </reference>
        </references>
      </pivotArea>
    </format>
    <format dxfId="61">
      <pivotArea dataOnly="0" labelOnly="1" outline="0" fieldPosition="0">
        <references count="3">
          <reference field="0" count="1">
            <x v="18"/>
          </reference>
          <reference field="1" count="1" selected="0">
            <x v="33"/>
          </reference>
          <reference field="5" count="1" selected="0">
            <x v="11"/>
          </reference>
        </references>
      </pivotArea>
    </format>
    <format dxfId="60">
      <pivotArea dataOnly="0" labelOnly="1" outline="0" fieldPosition="0">
        <references count="3">
          <reference field="0" count="1">
            <x v="22"/>
          </reference>
          <reference field="1" count="1" selected="0">
            <x v="34"/>
          </reference>
          <reference field="5" count="1" selected="0">
            <x v="11"/>
          </reference>
        </references>
      </pivotArea>
    </format>
    <format dxfId="59">
      <pivotArea dataOnly="0" labelOnly="1" outline="0" fieldPosition="0">
        <references count="3">
          <reference field="0" count="1">
            <x v="24"/>
          </reference>
          <reference field="1" count="1" selected="0">
            <x v="38"/>
          </reference>
          <reference field="5" count="1" selected="0">
            <x v="11"/>
          </reference>
        </references>
      </pivotArea>
    </format>
    <format dxfId="58">
      <pivotArea dataOnly="0" labelOnly="1" outline="0" fieldPosition="0">
        <references count="3">
          <reference field="0" count="1">
            <x v="21"/>
          </reference>
          <reference field="1" count="1" selected="0">
            <x v="3"/>
          </reference>
          <reference field="5" count="1" selected="0">
            <x v="13"/>
          </reference>
        </references>
      </pivotArea>
    </format>
    <format dxfId="57">
      <pivotArea dataOnly="0" labelOnly="1" outline="0" fieldPosition="0">
        <references count="3">
          <reference field="0" count="1">
            <x v="23"/>
          </reference>
          <reference field="1" count="1" selected="0">
            <x v="12"/>
          </reference>
          <reference field="5" count="1" selected="0">
            <x v="14"/>
          </reference>
        </references>
      </pivotArea>
    </format>
    <format dxfId="56">
      <pivotArea field="2" type="button" dataOnly="0" labelOnly="1" outline="0" axis="axisRow" fieldPosition="0"/>
    </format>
    <format dxfId="55">
      <pivotArea field="3" type="button" dataOnly="0" labelOnly="1" outline="0" axis="axisRow" fieldPosition="1"/>
    </format>
    <format dxfId="54">
      <pivotArea dataOnly="0" labelOnly="1" grandCol="1" outline="0" fieldPosition="0"/>
    </format>
    <format dxfId="53">
      <pivotArea dataOnly="0" labelOnly="1" outline="0" fieldPosition="0">
        <references count="3">
          <reference field="0" count="1">
            <x v="3"/>
          </reference>
          <reference field="1" count="1" selected="0">
            <x v="3"/>
          </reference>
          <reference field="5" count="1" selected="0">
            <x v="3"/>
          </reference>
        </references>
      </pivotArea>
    </format>
    <format dxfId="52">
      <pivotArea dataOnly="0" labelOnly="1" outline="0" fieldPosition="0">
        <references count="3">
          <reference field="0" count="1">
            <x v="8"/>
          </reference>
          <reference field="1" count="1" selected="0">
            <x v="8"/>
          </reference>
          <reference field="5" count="1" selected="0">
            <x v="7"/>
          </reference>
        </references>
      </pivotArea>
    </format>
    <format dxfId="51">
      <pivotArea dataOnly="0" labelOnly="1" outline="0" fieldPosition="0">
        <references count="3">
          <reference field="0" count="1">
            <x v="9"/>
          </reference>
          <reference field="1" count="1" selected="0">
            <x v="9"/>
          </reference>
          <reference field="5" count="1" selected="0">
            <x v="7"/>
          </reference>
        </references>
      </pivotArea>
    </format>
    <format dxfId="50">
      <pivotArea dataOnly="0" labelOnly="1" outline="0" fieldPosition="0">
        <references count="3">
          <reference field="0" count="1">
            <x v="10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49">
      <pivotArea dataOnly="0" labelOnly="1" outline="0" fieldPosition="0">
        <references count="3">
          <reference field="0" count="1">
            <x v="10"/>
          </reference>
          <reference field="1" count="1" selected="0">
            <x v="11"/>
          </reference>
          <reference field="5" count="1" selected="0">
            <x v="7"/>
          </reference>
        </references>
      </pivotArea>
    </format>
    <format dxfId="48">
      <pivotArea dataOnly="0" labelOnly="1" outline="0" fieldPosition="0">
        <references count="3">
          <reference field="0" count="1">
            <x v="25"/>
          </reference>
          <reference field="1" count="1" selected="0">
            <x v="35"/>
          </reference>
          <reference field="5" count="1" selected="0">
            <x v="7"/>
          </reference>
        </references>
      </pivotArea>
    </format>
    <format dxfId="47">
      <pivotArea dataOnly="0" labelOnly="1" outline="0" fieldPosition="0">
        <references count="3">
          <reference field="0" count="1">
            <x v="25"/>
          </reference>
          <reference field="1" count="1" selected="0">
            <x v="36"/>
          </reference>
          <reference field="5" count="1" selected="0">
            <x v="7"/>
          </reference>
        </references>
      </pivotArea>
    </format>
    <format dxfId="46">
      <pivotArea dataOnly="0" labelOnly="1" outline="0" fieldPosition="0">
        <references count="3">
          <reference field="0" count="1">
            <x v="20"/>
          </reference>
          <reference field="1" count="1" selected="0">
            <x v="37"/>
          </reference>
          <reference field="5" count="1" selected="0">
            <x v="7"/>
          </reference>
        </references>
      </pivotArea>
    </format>
    <format dxfId="45">
      <pivotArea dataOnly="0" labelOnly="1" outline="0" fieldPosition="0">
        <references count="3">
          <reference field="0" count="1">
            <x v="26"/>
          </reference>
          <reference field="1" count="1" selected="0">
            <x v="39"/>
          </reference>
          <reference field="5" count="1" selected="0">
            <x v="7"/>
          </reference>
        </references>
      </pivotArea>
    </format>
    <format dxfId="44">
      <pivotArea dataOnly="0" labelOnly="1" outline="0" fieldPosition="0">
        <references count="3">
          <reference field="0" count="1">
            <x v="12"/>
          </reference>
          <reference field="1" count="1" selected="0">
            <x v="13"/>
          </reference>
          <reference field="5" count="1" selected="0">
            <x v="8"/>
          </reference>
        </references>
      </pivotArea>
    </format>
    <format dxfId="43">
      <pivotArea dataOnly="0" labelOnly="1" outline="0" fieldPosition="0">
        <references count="3">
          <reference field="0" count="1">
            <x v="15"/>
          </reference>
          <reference field="1" count="1" selected="0">
            <x v="30"/>
          </reference>
          <reference field="5" count="1" selected="0">
            <x v="9"/>
          </reference>
        </references>
      </pivotArea>
    </format>
    <format dxfId="42">
      <pivotArea dataOnly="0" labelOnly="1" outline="0" fieldPosition="0">
        <references count="3">
          <reference field="0" count="1">
            <x v="16"/>
          </reference>
          <reference field="1" count="1" selected="0">
            <x v="31"/>
          </reference>
          <reference field="5" count="1" selected="0">
            <x v="10"/>
          </reference>
        </references>
      </pivotArea>
    </format>
    <format dxfId="41">
      <pivotArea dataOnly="0" labelOnly="1" outline="0" fieldPosition="0">
        <references count="3">
          <reference field="0" count="1">
            <x v="14"/>
          </reference>
          <reference field="1" count="1" selected="0">
            <x v="15"/>
          </reference>
          <reference field="5" count="1" selected="0">
            <x v="11"/>
          </reference>
        </references>
      </pivotArea>
    </format>
    <format dxfId="40">
      <pivotArea dataOnly="0" labelOnly="1" outline="0" fieldPosition="0">
        <references count="3">
          <reference field="0" count="1">
            <x v="17"/>
          </reference>
          <reference field="1" count="1" selected="0">
            <x v="32"/>
          </reference>
          <reference field="5" count="1" selected="0">
            <x v="11"/>
          </reference>
        </references>
      </pivotArea>
    </format>
    <format dxfId="39">
      <pivotArea dataOnly="0" labelOnly="1" outline="0" fieldPosition="0">
        <references count="3">
          <reference field="0" count="1">
            <x v="18"/>
          </reference>
          <reference field="1" count="1" selected="0">
            <x v="33"/>
          </reference>
          <reference field="5" count="1" selected="0">
            <x v="11"/>
          </reference>
        </references>
      </pivotArea>
    </format>
    <format dxfId="38">
      <pivotArea dataOnly="0" labelOnly="1" outline="0" fieldPosition="0">
        <references count="3">
          <reference field="0" count="1">
            <x v="22"/>
          </reference>
          <reference field="1" count="1" selected="0">
            <x v="34"/>
          </reference>
          <reference field="5" count="1" selected="0">
            <x v="11"/>
          </reference>
        </references>
      </pivotArea>
    </format>
    <format dxfId="37">
      <pivotArea dataOnly="0" labelOnly="1" outline="0" fieldPosition="0">
        <references count="3">
          <reference field="0" count="1">
            <x v="24"/>
          </reference>
          <reference field="1" count="1" selected="0">
            <x v="38"/>
          </reference>
          <reference field="5" count="1" selected="0">
            <x v="11"/>
          </reference>
        </references>
      </pivotArea>
    </format>
    <format dxfId="36">
      <pivotArea dataOnly="0" labelOnly="1" outline="0" fieldPosition="0">
        <references count="3">
          <reference field="0" count="1">
            <x v="21"/>
          </reference>
          <reference field="1" count="1" selected="0">
            <x v="3"/>
          </reference>
          <reference field="5" count="1" selected="0">
            <x v="13"/>
          </reference>
        </references>
      </pivotArea>
    </format>
    <format dxfId="35">
      <pivotArea dataOnly="0" labelOnly="1" outline="0" fieldPosition="0">
        <references count="3">
          <reference field="0" count="1">
            <x v="23"/>
          </reference>
          <reference field="1" count="1" selected="0">
            <x v="12"/>
          </reference>
          <reference field="5" count="1" selected="0">
            <x v="14"/>
          </reference>
        </references>
      </pivotArea>
    </format>
    <format dxfId="34">
      <pivotArea field="2" type="button" dataOnly="0" labelOnly="1" outline="0" axis="axisRow" fieldPosition="0"/>
    </format>
    <format dxfId="33">
      <pivotArea field="3" type="button" dataOnly="0" labelOnly="1" outline="0" axis="axisRow" fieldPosition="1"/>
    </format>
    <format dxfId="32">
      <pivotArea dataOnly="0" labelOnly="1" grandCol="1" outline="0" fieldPosition="0"/>
    </format>
    <format dxfId="31">
      <pivotArea dataOnly="0" labelOnly="1" outline="0" fieldPosition="0">
        <references count="3">
          <reference field="0" count="1">
            <x v="3"/>
          </reference>
          <reference field="1" count="1" selected="0">
            <x v="3"/>
          </reference>
          <reference field="5" count="1" selected="0">
            <x v="3"/>
          </reference>
        </references>
      </pivotArea>
    </format>
    <format dxfId="30">
      <pivotArea dataOnly="0" labelOnly="1" outline="0" fieldPosition="0">
        <references count="3">
          <reference field="0" count="1">
            <x v="8"/>
          </reference>
          <reference field="1" count="1" selected="0">
            <x v="8"/>
          </reference>
          <reference field="5" count="1" selected="0">
            <x v="7"/>
          </reference>
        </references>
      </pivotArea>
    </format>
    <format dxfId="29">
      <pivotArea dataOnly="0" labelOnly="1" outline="0" fieldPosition="0">
        <references count="3">
          <reference field="0" count="1">
            <x v="9"/>
          </reference>
          <reference field="1" count="1" selected="0">
            <x v="9"/>
          </reference>
          <reference field="5" count="1" selected="0">
            <x v="7"/>
          </reference>
        </references>
      </pivotArea>
    </format>
    <format dxfId="28">
      <pivotArea dataOnly="0" labelOnly="1" outline="0" fieldPosition="0">
        <references count="3">
          <reference field="0" count="1">
            <x v="10"/>
          </reference>
          <reference field="1" count="1" selected="0">
            <x v="10"/>
          </reference>
          <reference field="5" count="1" selected="0">
            <x v="7"/>
          </reference>
        </references>
      </pivotArea>
    </format>
    <format dxfId="27">
      <pivotArea dataOnly="0" labelOnly="1" outline="0" fieldPosition="0">
        <references count="3">
          <reference field="0" count="1">
            <x v="10"/>
          </reference>
          <reference field="1" count="1" selected="0">
            <x v="11"/>
          </reference>
          <reference field="5" count="1" selected="0">
            <x v="7"/>
          </reference>
        </references>
      </pivotArea>
    </format>
    <format dxfId="26">
      <pivotArea dataOnly="0" labelOnly="1" outline="0" fieldPosition="0">
        <references count="3">
          <reference field="0" count="1">
            <x v="25"/>
          </reference>
          <reference field="1" count="1" selected="0">
            <x v="35"/>
          </reference>
          <reference field="5" count="1" selected="0">
            <x v="7"/>
          </reference>
        </references>
      </pivotArea>
    </format>
    <format dxfId="25">
      <pivotArea dataOnly="0" labelOnly="1" outline="0" fieldPosition="0">
        <references count="3">
          <reference field="0" count="1">
            <x v="25"/>
          </reference>
          <reference field="1" count="1" selected="0">
            <x v="36"/>
          </reference>
          <reference field="5" count="1" selected="0">
            <x v="7"/>
          </reference>
        </references>
      </pivotArea>
    </format>
    <format dxfId="24">
      <pivotArea dataOnly="0" labelOnly="1" outline="0" fieldPosition="0">
        <references count="3">
          <reference field="0" count="1">
            <x v="20"/>
          </reference>
          <reference field="1" count="1" selected="0">
            <x v="37"/>
          </reference>
          <reference field="5" count="1" selected="0">
            <x v="7"/>
          </reference>
        </references>
      </pivotArea>
    </format>
    <format dxfId="23">
      <pivotArea dataOnly="0" labelOnly="1" outline="0" fieldPosition="0">
        <references count="3">
          <reference field="0" count="1">
            <x v="26"/>
          </reference>
          <reference field="1" count="1" selected="0">
            <x v="39"/>
          </reference>
          <reference field="5" count="1" selected="0">
            <x v="7"/>
          </reference>
        </references>
      </pivotArea>
    </format>
    <format dxfId="22">
      <pivotArea dataOnly="0" labelOnly="1" outline="0" fieldPosition="0">
        <references count="3">
          <reference field="0" count="1">
            <x v="12"/>
          </reference>
          <reference field="1" count="1" selected="0">
            <x v="13"/>
          </reference>
          <reference field="5" count="1" selected="0">
            <x v="8"/>
          </reference>
        </references>
      </pivotArea>
    </format>
    <format dxfId="21">
      <pivotArea dataOnly="0" labelOnly="1" outline="0" fieldPosition="0">
        <references count="3">
          <reference field="0" count="1">
            <x v="15"/>
          </reference>
          <reference field="1" count="1" selected="0">
            <x v="30"/>
          </reference>
          <reference field="5" count="1" selected="0">
            <x v="9"/>
          </reference>
        </references>
      </pivotArea>
    </format>
    <format dxfId="20">
      <pivotArea dataOnly="0" labelOnly="1" outline="0" fieldPosition="0">
        <references count="3">
          <reference field="0" count="1">
            <x v="16"/>
          </reference>
          <reference field="1" count="1" selected="0">
            <x v="31"/>
          </reference>
          <reference field="5" count="1" selected="0">
            <x v="10"/>
          </reference>
        </references>
      </pivotArea>
    </format>
    <format dxfId="19">
      <pivotArea dataOnly="0" labelOnly="1" outline="0" fieldPosition="0">
        <references count="3">
          <reference field="0" count="1">
            <x v="14"/>
          </reference>
          <reference field="1" count="1" selected="0">
            <x v="15"/>
          </reference>
          <reference field="5" count="1" selected="0">
            <x v="11"/>
          </reference>
        </references>
      </pivotArea>
    </format>
    <format dxfId="18">
      <pivotArea dataOnly="0" labelOnly="1" outline="0" fieldPosition="0">
        <references count="3">
          <reference field="0" count="1">
            <x v="17"/>
          </reference>
          <reference field="1" count="1" selected="0">
            <x v="32"/>
          </reference>
          <reference field="5" count="1" selected="0">
            <x v="11"/>
          </reference>
        </references>
      </pivotArea>
    </format>
    <format dxfId="17">
      <pivotArea dataOnly="0" labelOnly="1" outline="0" fieldPosition="0">
        <references count="3">
          <reference field="0" count="1">
            <x v="18"/>
          </reference>
          <reference field="1" count="1" selected="0">
            <x v="33"/>
          </reference>
          <reference field="5" count="1" selected="0">
            <x v="11"/>
          </reference>
        </references>
      </pivotArea>
    </format>
    <format dxfId="16">
      <pivotArea dataOnly="0" labelOnly="1" outline="0" fieldPosition="0">
        <references count="3">
          <reference field="0" count="1">
            <x v="22"/>
          </reference>
          <reference field="1" count="1" selected="0">
            <x v="34"/>
          </reference>
          <reference field="5" count="1" selected="0">
            <x v="11"/>
          </reference>
        </references>
      </pivotArea>
    </format>
    <format dxfId="15">
      <pivotArea dataOnly="0" labelOnly="1" outline="0" fieldPosition="0">
        <references count="3">
          <reference field="0" count="1">
            <x v="24"/>
          </reference>
          <reference field="1" count="1" selected="0">
            <x v="38"/>
          </reference>
          <reference field="5" count="1" selected="0">
            <x v="11"/>
          </reference>
        </references>
      </pivotArea>
    </format>
    <format dxfId="14">
      <pivotArea dataOnly="0" labelOnly="1" outline="0" fieldPosition="0">
        <references count="3">
          <reference field="0" count="1">
            <x v="21"/>
          </reference>
          <reference field="1" count="1" selected="0">
            <x v="3"/>
          </reference>
          <reference field="5" count="1" selected="0">
            <x v="13"/>
          </reference>
        </references>
      </pivotArea>
    </format>
    <format dxfId="13">
      <pivotArea dataOnly="0" labelOnly="1" outline="0" fieldPosition="0">
        <references count="3">
          <reference field="0" count="1">
            <x v="23"/>
          </reference>
          <reference field="1" count="1" selected="0">
            <x v="12"/>
          </reference>
          <reference field="5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FE412D-AD02-4DB3-9387-203DA308C4F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fb274e6-a5df-4952-9b15-cc01849d09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D71A-C8D8-464C-9EEF-200961273CBF}">
  <sheetPr>
    <tabColor rgb="FF00B050"/>
  </sheetPr>
  <dimension ref="A1:BF152"/>
  <sheetViews>
    <sheetView showGridLines="0" zoomScale="58" zoomScaleNormal="58" workbookViewId="0">
      <pane xSplit="5" ySplit="4" topLeftCell="F5" activePane="bottomRight" state="frozen"/>
      <selection pane="topRight" activeCell="D1" sqref="D1"/>
      <selection pane="bottomLeft" activeCell="A4" sqref="A4"/>
      <selection pane="bottomRight" activeCell="F127" sqref="A7:F127"/>
    </sheetView>
  </sheetViews>
  <sheetFormatPr defaultColWidth="9.140625" defaultRowHeight="15" x14ac:dyDescent="0.25"/>
  <cols>
    <col min="1" max="1" width="19.140625" style="9" bestFit="1" customWidth="1"/>
    <col min="2" max="2" width="15.42578125" style="9" bestFit="1" customWidth="1"/>
    <col min="3" max="3" width="22.28515625" style="9" bestFit="1" customWidth="1"/>
    <col min="4" max="4" width="25.42578125" style="9" customWidth="1"/>
    <col min="5" max="5" width="8.7109375" style="89" bestFit="1" customWidth="1"/>
    <col min="6" max="6" width="25.28515625" style="9" bestFit="1" customWidth="1"/>
    <col min="7" max="7" width="7.28515625" style="9" customWidth="1"/>
    <col min="8" max="8" width="6.42578125" style="9" customWidth="1"/>
    <col min="9" max="17" width="6.85546875" style="9" customWidth="1"/>
    <col min="18" max="18" width="6.85546875" style="8" customWidth="1"/>
    <col min="19" max="19" width="15.42578125" style="90" customWidth="1"/>
    <col min="20" max="20" width="13.28515625" style="91" hidden="1" customWidth="1"/>
    <col min="21" max="21" width="22.28515625" style="91" customWidth="1"/>
    <col min="22" max="22" width="18" style="91" customWidth="1"/>
    <col min="23" max="23" width="32.7109375" style="92" customWidth="1"/>
    <col min="24" max="33" width="4.85546875" style="9" customWidth="1"/>
    <col min="34" max="54" width="4.85546875" style="9" hidden="1" customWidth="1"/>
    <col min="55" max="55" width="10.7109375" style="9" customWidth="1"/>
    <col min="56" max="56" width="10.28515625" style="8" customWidth="1"/>
    <col min="57" max="57" width="6" style="8" customWidth="1"/>
    <col min="58" max="58" width="7.7109375" style="9" customWidth="1"/>
    <col min="59" max="16384" width="9.140625" style="9"/>
  </cols>
  <sheetData>
    <row r="1" spans="1:58" ht="20.100000000000001" customHeight="1" x14ac:dyDescent="0.3">
      <c r="B1" s="1" t="s">
        <v>0</v>
      </c>
      <c r="C1" s="2">
        <v>19200</v>
      </c>
      <c r="D1" s="145" t="s">
        <v>258</v>
      </c>
      <c r="E1" s="3"/>
      <c r="F1" s="148"/>
      <c r="G1" s="148"/>
      <c r="H1" s="149" t="s">
        <v>259</v>
      </c>
      <c r="I1" s="149"/>
      <c r="J1" s="149"/>
      <c r="K1" s="149"/>
      <c r="L1" s="149"/>
      <c r="M1" s="151">
        <v>46288</v>
      </c>
      <c r="N1" s="151"/>
      <c r="O1" s="151"/>
      <c r="P1" s="151"/>
      <c r="Q1" s="151"/>
      <c r="R1" s="152"/>
      <c r="S1" s="5"/>
      <c r="T1" s="155"/>
      <c r="U1" s="6"/>
      <c r="V1" s="6"/>
      <c r="W1" s="7"/>
      <c r="X1" s="173" t="s">
        <v>1</v>
      </c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67">
        <f>(BC4/E4)</f>
        <v>0</v>
      </c>
    </row>
    <row r="2" spans="1:58" ht="20.100000000000001" customHeight="1" x14ac:dyDescent="0.3">
      <c r="B2" s="1" t="s">
        <v>2</v>
      </c>
      <c r="C2" s="2" t="s">
        <v>260</v>
      </c>
      <c r="D2" s="146"/>
      <c r="E2" s="10"/>
      <c r="F2" s="4"/>
      <c r="G2" s="4"/>
      <c r="H2" s="150"/>
      <c r="I2" s="150"/>
      <c r="J2" s="150"/>
      <c r="K2" s="150"/>
      <c r="L2" s="150"/>
      <c r="M2" s="153"/>
      <c r="N2" s="153"/>
      <c r="O2" s="153"/>
      <c r="P2" s="153"/>
      <c r="Q2" s="153"/>
      <c r="R2" s="154"/>
      <c r="S2" s="11"/>
      <c r="T2" s="156"/>
      <c r="U2" s="6"/>
      <c r="V2" s="6"/>
      <c r="W2" s="7"/>
      <c r="X2" s="12">
        <v>1</v>
      </c>
      <c r="Y2" s="12">
        <v>2</v>
      </c>
      <c r="Z2" s="12">
        <v>3</v>
      </c>
      <c r="AA2" s="12">
        <v>4</v>
      </c>
      <c r="AB2" s="12">
        <v>5</v>
      </c>
      <c r="AC2" s="12">
        <v>6</v>
      </c>
      <c r="AD2" s="12">
        <v>7</v>
      </c>
      <c r="AE2" s="12">
        <v>8</v>
      </c>
      <c r="AF2" s="12">
        <v>9</v>
      </c>
      <c r="AG2" s="12">
        <v>10</v>
      </c>
      <c r="AH2" s="12">
        <v>11</v>
      </c>
      <c r="AI2" s="12">
        <v>12</v>
      </c>
      <c r="AJ2" s="12">
        <v>13</v>
      </c>
      <c r="AK2" s="12">
        <v>14</v>
      </c>
      <c r="AL2" s="12">
        <v>15</v>
      </c>
      <c r="AM2" s="12">
        <v>16</v>
      </c>
      <c r="AN2" s="12">
        <v>17</v>
      </c>
      <c r="AO2" s="12">
        <v>18</v>
      </c>
      <c r="AP2" s="12">
        <v>19</v>
      </c>
      <c r="AQ2" s="12">
        <v>20</v>
      </c>
      <c r="AR2" s="12">
        <v>21</v>
      </c>
      <c r="AS2" s="12">
        <v>22</v>
      </c>
      <c r="AT2" s="12">
        <v>23</v>
      </c>
      <c r="AU2" s="12">
        <v>24</v>
      </c>
      <c r="AV2" s="12">
        <v>25</v>
      </c>
      <c r="AW2" s="12">
        <v>26</v>
      </c>
      <c r="AX2" s="12">
        <v>27</v>
      </c>
      <c r="AY2" s="12">
        <v>28</v>
      </c>
      <c r="AZ2" s="12">
        <v>29</v>
      </c>
      <c r="BA2" s="12">
        <v>30</v>
      </c>
      <c r="BB2" s="12">
        <v>31</v>
      </c>
      <c r="BC2" s="168"/>
      <c r="BF2" s="9" t="e">
        <f>SUM(BF8:BF137)</f>
        <v>#REF!</v>
      </c>
    </row>
    <row r="3" spans="1:58" ht="18" customHeight="1" x14ac:dyDescent="0.25">
      <c r="B3" s="13" t="s">
        <v>261</v>
      </c>
      <c r="C3" s="13" t="s">
        <v>262</v>
      </c>
      <c r="D3" s="146"/>
      <c r="E3" s="14" t="s">
        <v>263</v>
      </c>
      <c r="F3" s="15" t="s">
        <v>8</v>
      </c>
      <c r="G3" s="15" t="s">
        <v>264</v>
      </c>
      <c r="H3" s="169" t="s">
        <v>265</v>
      </c>
      <c r="I3" s="171" t="s">
        <v>266</v>
      </c>
      <c r="J3" s="172"/>
      <c r="K3" s="157" t="s">
        <v>267</v>
      </c>
      <c r="L3" s="157" t="s">
        <v>268</v>
      </c>
      <c r="M3" s="157" t="s">
        <v>269</v>
      </c>
      <c r="N3" s="157" t="s">
        <v>270</v>
      </c>
      <c r="O3" s="157" t="s">
        <v>271</v>
      </c>
      <c r="P3" s="157" t="s">
        <v>272</v>
      </c>
      <c r="Q3" s="157" t="s">
        <v>273</v>
      </c>
      <c r="R3" s="157" t="s">
        <v>274</v>
      </c>
      <c r="S3" s="159" t="s">
        <v>275</v>
      </c>
      <c r="T3" s="161" t="s">
        <v>276</v>
      </c>
      <c r="U3" s="175" t="s">
        <v>277</v>
      </c>
      <c r="V3" s="163" t="s">
        <v>278</v>
      </c>
      <c r="W3" s="165" t="s">
        <v>4</v>
      </c>
      <c r="X3" s="16"/>
      <c r="Y3" s="16"/>
      <c r="Z3" s="16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8" t="s">
        <v>5</v>
      </c>
      <c r="BD3" s="19" t="s">
        <v>6</v>
      </c>
      <c r="BE3" s="20" t="s">
        <v>7</v>
      </c>
      <c r="BF3" s="20" t="s">
        <v>8</v>
      </c>
    </row>
    <row r="4" spans="1:58" ht="17.25" customHeight="1" x14ac:dyDescent="0.25">
      <c r="B4" s="21"/>
      <c r="C4" s="21"/>
      <c r="D4" s="147"/>
      <c r="E4" s="22">
        <f>SUM(E8:E146)</f>
        <v>3774</v>
      </c>
      <c r="F4" s="15">
        <f>SUM(F8:F146)</f>
        <v>5554560</v>
      </c>
      <c r="G4" s="15"/>
      <c r="H4" s="170"/>
      <c r="I4" s="23" t="s">
        <v>279</v>
      </c>
      <c r="J4" s="23" t="s">
        <v>280</v>
      </c>
      <c r="K4" s="158"/>
      <c r="L4" s="158"/>
      <c r="M4" s="158"/>
      <c r="N4" s="158"/>
      <c r="O4" s="158"/>
      <c r="P4" s="158"/>
      <c r="Q4" s="158"/>
      <c r="R4" s="158"/>
      <c r="S4" s="160"/>
      <c r="T4" s="162"/>
      <c r="U4" s="176"/>
      <c r="V4" s="164"/>
      <c r="W4" s="166"/>
      <c r="X4" s="24">
        <v>1</v>
      </c>
      <c r="Y4" s="25">
        <v>2</v>
      </c>
      <c r="Z4" s="25">
        <v>3</v>
      </c>
      <c r="AA4" s="26">
        <v>4</v>
      </c>
      <c r="AB4" s="26">
        <v>5</v>
      </c>
      <c r="AC4" s="26">
        <v>6</v>
      </c>
      <c r="AD4" s="26">
        <v>7</v>
      </c>
      <c r="AE4" s="26">
        <v>8</v>
      </c>
      <c r="AF4" s="26">
        <v>9</v>
      </c>
      <c r="AG4" s="26">
        <v>10</v>
      </c>
      <c r="AH4" s="26">
        <v>11</v>
      </c>
      <c r="AI4" s="26">
        <v>12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7">
        <f>SUM(BC8:BC146)</f>
        <v>0</v>
      </c>
      <c r="BD4" s="28"/>
      <c r="BE4" s="29"/>
      <c r="BF4" s="29"/>
    </row>
    <row r="5" spans="1:58" ht="16.5" customHeight="1" x14ac:dyDescent="0.25">
      <c r="B5" s="30"/>
      <c r="C5" s="31" t="s">
        <v>281</v>
      </c>
      <c r="D5" s="32"/>
      <c r="E5" s="33"/>
      <c r="F5" s="34"/>
      <c r="G5" s="34"/>
      <c r="H5" s="35"/>
      <c r="I5" s="35"/>
      <c r="J5" s="35"/>
      <c r="K5" s="35">
        <f t="shared" ref="K5:R5" si="0">SUM(K8:K244)</f>
        <v>270</v>
      </c>
      <c r="L5" s="35">
        <f t="shared" si="0"/>
        <v>70</v>
      </c>
      <c r="M5" s="35">
        <f t="shared" si="0"/>
        <v>135</v>
      </c>
      <c r="N5" s="35">
        <f t="shared" si="0"/>
        <v>0</v>
      </c>
      <c r="O5" s="35">
        <f t="shared" si="0"/>
        <v>0</v>
      </c>
      <c r="P5" s="35">
        <f t="shared" si="0"/>
        <v>30</v>
      </c>
      <c r="Q5" s="35">
        <f t="shared" si="0"/>
        <v>1070</v>
      </c>
      <c r="R5" s="35">
        <f t="shared" si="0"/>
        <v>0</v>
      </c>
      <c r="S5" s="36"/>
      <c r="T5" s="37"/>
      <c r="U5" s="37"/>
      <c r="V5" s="37"/>
      <c r="W5" s="38"/>
      <c r="X5" s="39"/>
      <c r="Y5" s="40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35">
        <f>SUM(BC8:BC244)</f>
        <v>0</v>
      </c>
      <c r="BD5" s="42"/>
      <c r="BE5" s="42"/>
      <c r="BF5" s="43"/>
    </row>
    <row r="6" spans="1:58" ht="16.5" customHeight="1" x14ac:dyDescent="0.25">
      <c r="B6" s="30"/>
      <c r="C6" s="31" t="s">
        <v>282</v>
      </c>
      <c r="D6" s="32"/>
      <c r="E6" s="33"/>
      <c r="F6" s="34"/>
      <c r="G6" s="34"/>
      <c r="H6" s="35"/>
      <c r="I6" s="35"/>
      <c r="J6" s="35"/>
      <c r="K6" s="35">
        <f>SUM(L5:$R$5,$BC$5)</f>
        <v>1305</v>
      </c>
      <c r="L6" s="35">
        <f>SUM(M5:$R$5,$BC$5)</f>
        <v>1235</v>
      </c>
      <c r="M6" s="35">
        <f>SUM(N5:$R$5,$BC$5)</f>
        <v>1100</v>
      </c>
      <c r="N6" s="35">
        <f>SUM(O5:$R$5,$BC$5)</f>
        <v>1100</v>
      </c>
      <c r="O6" s="35">
        <f>SUM(P5:$R$5,$BC$5)</f>
        <v>1100</v>
      </c>
      <c r="P6" s="35">
        <f>SUM(Q5:$R$5,$BC$5)</f>
        <v>1070</v>
      </c>
      <c r="Q6" s="35">
        <f>SUM(R5:$R$5,$BC$5)</f>
        <v>0</v>
      </c>
      <c r="R6" s="35">
        <f>$BC$5</f>
        <v>0</v>
      </c>
      <c r="S6" s="36"/>
      <c r="T6" s="37"/>
      <c r="U6" s="37"/>
      <c r="V6" s="37"/>
      <c r="W6" s="38"/>
      <c r="X6" s="39"/>
      <c r="Y6" s="40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4">
        <f>BC5</f>
        <v>0</v>
      </c>
      <c r="BD6" s="42"/>
      <c r="BE6" s="42"/>
      <c r="BF6" s="43"/>
    </row>
    <row r="7" spans="1:58" ht="16.5" customHeight="1" x14ac:dyDescent="0.25">
      <c r="A7" s="9" t="s">
        <v>450</v>
      </c>
      <c r="B7" s="45" t="s">
        <v>445</v>
      </c>
      <c r="C7" s="31" t="s">
        <v>446</v>
      </c>
      <c r="D7" s="32" t="s">
        <v>447</v>
      </c>
      <c r="E7" s="33" t="s">
        <v>448</v>
      </c>
      <c r="F7" s="34" t="s">
        <v>449</v>
      </c>
      <c r="G7" s="34"/>
      <c r="H7" s="35"/>
      <c r="I7" s="35"/>
      <c r="J7" s="35"/>
      <c r="K7" s="46">
        <f t="shared" ref="K7:R7" si="1">K6/$E$4</f>
        <v>0.34578696343402227</v>
      </c>
      <c r="L7" s="46">
        <f t="shared" si="1"/>
        <v>0.32723900370959197</v>
      </c>
      <c r="M7" s="46">
        <f t="shared" si="1"/>
        <v>0.29146793852676206</v>
      </c>
      <c r="N7" s="46">
        <f t="shared" si="1"/>
        <v>0.29146793852676206</v>
      </c>
      <c r="O7" s="46">
        <f t="shared" si="1"/>
        <v>0.29146793852676206</v>
      </c>
      <c r="P7" s="46">
        <f t="shared" si="1"/>
        <v>0.28351881293057762</v>
      </c>
      <c r="Q7" s="46">
        <f t="shared" si="1"/>
        <v>0</v>
      </c>
      <c r="R7" s="46">
        <f t="shared" si="1"/>
        <v>0</v>
      </c>
      <c r="S7" s="47"/>
      <c r="T7" s="37"/>
      <c r="U7" s="37"/>
      <c r="V7" s="37"/>
      <c r="W7" s="38"/>
      <c r="X7" s="39"/>
      <c r="Y7" s="40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6">
        <f>BC6/$E$4</f>
        <v>0</v>
      </c>
      <c r="BD7" s="42"/>
      <c r="BE7" s="42"/>
      <c r="BF7" s="43"/>
    </row>
    <row r="8" spans="1:58" ht="16.5" customHeight="1" x14ac:dyDescent="0.25">
      <c r="A8" s="9" t="s">
        <v>260</v>
      </c>
      <c r="B8" s="94">
        <v>8217</v>
      </c>
      <c r="C8" s="88" t="s">
        <v>283</v>
      </c>
      <c r="D8" s="88" t="s">
        <v>284</v>
      </c>
      <c r="E8" s="95">
        <v>75</v>
      </c>
      <c r="F8" s="117">
        <v>46288</v>
      </c>
      <c r="G8" s="96" t="e">
        <f>VLOOKUP(C8,#REF!,12,0)</f>
        <v>#REF!</v>
      </c>
      <c r="H8" s="97"/>
      <c r="I8" s="97"/>
      <c r="J8" s="97"/>
      <c r="K8" s="97">
        <v>75</v>
      </c>
      <c r="L8" s="97"/>
      <c r="M8" s="97"/>
      <c r="N8" s="97"/>
      <c r="O8" s="97"/>
      <c r="P8" s="97"/>
      <c r="Q8" s="97"/>
      <c r="R8" s="97"/>
      <c r="S8" s="98"/>
      <c r="T8" s="99"/>
      <c r="U8" s="99"/>
      <c r="V8" s="99" t="s">
        <v>285</v>
      </c>
      <c r="W8" s="100"/>
      <c r="X8" s="56"/>
      <c r="Y8" s="57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>
        <f>SUM(X8:BB8)</f>
        <v>0</v>
      </c>
      <c r="BD8" s="60" t="str">
        <f t="shared" ref="BD8:BD16" si="2">IF(BC8=E8,"Complete","Lacking")</f>
        <v>Lacking</v>
      </c>
      <c r="BE8" s="61">
        <f t="shared" ref="BE8:BE16" si="3">E8-BC8</f>
        <v>75</v>
      </c>
      <c r="BF8" s="62" t="e">
        <f t="shared" ref="BF8:BF16" si="4">BC8*G8</f>
        <v>#REF!</v>
      </c>
    </row>
    <row r="9" spans="1:58" ht="16.5" customHeight="1" x14ac:dyDescent="0.25">
      <c r="A9" s="9" t="s">
        <v>260</v>
      </c>
      <c r="B9" s="94">
        <v>8217</v>
      </c>
      <c r="C9" s="88" t="s">
        <v>286</v>
      </c>
      <c r="D9" s="88" t="s">
        <v>287</v>
      </c>
      <c r="E9" s="95">
        <v>45</v>
      </c>
      <c r="F9" s="117">
        <v>46288</v>
      </c>
      <c r="G9" s="96" t="e">
        <f>VLOOKUP(C9,#REF!,12,0)</f>
        <v>#REF!</v>
      </c>
      <c r="H9" s="97"/>
      <c r="I9" s="97"/>
      <c r="J9" s="97"/>
      <c r="K9" s="97">
        <v>45</v>
      </c>
      <c r="L9" s="97"/>
      <c r="N9" s="97"/>
      <c r="O9" s="97"/>
      <c r="P9" s="97"/>
      <c r="Q9" s="97"/>
      <c r="R9" s="97"/>
      <c r="S9" s="98"/>
      <c r="T9" s="99"/>
      <c r="U9" s="99" t="s">
        <v>288</v>
      </c>
      <c r="V9" s="99" t="s">
        <v>289</v>
      </c>
      <c r="W9" s="10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59">
        <f t="shared" ref="BC9:BC115" si="5">SUM(X9:BB9)</f>
        <v>0</v>
      </c>
      <c r="BD9" s="60" t="str">
        <f t="shared" si="2"/>
        <v>Lacking</v>
      </c>
      <c r="BE9" s="61">
        <f t="shared" si="3"/>
        <v>45</v>
      </c>
      <c r="BF9" s="62" t="e">
        <f t="shared" si="4"/>
        <v>#REF!</v>
      </c>
    </row>
    <row r="10" spans="1:58" ht="16.5" customHeight="1" x14ac:dyDescent="0.25">
      <c r="A10" s="9" t="s">
        <v>260</v>
      </c>
      <c r="B10" s="94">
        <v>8217</v>
      </c>
      <c r="C10" s="88" t="s">
        <v>151</v>
      </c>
      <c r="D10" s="88" t="s">
        <v>152</v>
      </c>
      <c r="E10" s="101">
        <v>30</v>
      </c>
      <c r="F10" s="117">
        <v>46288</v>
      </c>
      <c r="G10" s="96" t="e">
        <f>VLOOKUP(C10,#REF!,12,0)</f>
        <v>#REF!</v>
      </c>
      <c r="H10" s="97">
        <v>30</v>
      </c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8" t="s">
        <v>290</v>
      </c>
      <c r="T10" s="99"/>
      <c r="U10" s="99" t="s">
        <v>291</v>
      </c>
      <c r="V10" s="99" t="s">
        <v>292</v>
      </c>
      <c r="W10" s="10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59">
        <f t="shared" si="5"/>
        <v>0</v>
      </c>
      <c r="BD10" s="60" t="str">
        <f t="shared" si="2"/>
        <v>Lacking</v>
      </c>
      <c r="BE10" s="61">
        <f t="shared" si="3"/>
        <v>30</v>
      </c>
      <c r="BF10" s="62" t="e">
        <f t="shared" si="4"/>
        <v>#REF!</v>
      </c>
    </row>
    <row r="11" spans="1:58" s="69" customFormat="1" ht="16.5" customHeight="1" x14ac:dyDescent="0.25">
      <c r="A11" s="9" t="s">
        <v>260</v>
      </c>
      <c r="B11" s="102">
        <v>8217</v>
      </c>
      <c r="C11" s="103" t="s">
        <v>169</v>
      </c>
      <c r="D11" s="103" t="s">
        <v>170</v>
      </c>
      <c r="E11" s="104">
        <v>60</v>
      </c>
      <c r="F11" s="117">
        <v>46288</v>
      </c>
      <c r="G11" s="105" t="e">
        <f>VLOOKUP(C11,#REF!,12,0)</f>
        <v>#REF!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7" t="s">
        <v>290</v>
      </c>
      <c r="T11" s="108"/>
      <c r="U11" s="108" t="s">
        <v>291</v>
      </c>
      <c r="V11" s="108" t="s">
        <v>293</v>
      </c>
      <c r="W11" s="109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>
        <f t="shared" si="5"/>
        <v>0</v>
      </c>
      <c r="BD11" s="65" t="str">
        <f t="shared" si="2"/>
        <v>Lacking</v>
      </c>
      <c r="BE11" s="67">
        <f t="shared" si="3"/>
        <v>60</v>
      </c>
      <c r="BF11" s="68" t="e">
        <f t="shared" si="4"/>
        <v>#REF!</v>
      </c>
    </row>
    <row r="12" spans="1:58" s="69" customFormat="1" ht="16.5" customHeight="1" x14ac:dyDescent="0.25">
      <c r="A12" s="9" t="s">
        <v>260</v>
      </c>
      <c r="B12" s="102">
        <v>8217</v>
      </c>
      <c r="C12" s="103" t="s">
        <v>157</v>
      </c>
      <c r="D12" s="103" t="s">
        <v>158</v>
      </c>
      <c r="E12" s="104">
        <v>60</v>
      </c>
      <c r="F12" s="117">
        <v>46288</v>
      </c>
      <c r="G12" s="105" t="e">
        <f>VLOOKUP(C12,#REF!,12,0)</f>
        <v>#REF!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7" t="s">
        <v>290</v>
      </c>
      <c r="T12" s="108"/>
      <c r="U12" s="108" t="s">
        <v>294</v>
      </c>
      <c r="V12" s="108" t="s">
        <v>295</v>
      </c>
      <c r="W12" s="109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6">
        <f t="shared" si="5"/>
        <v>0</v>
      </c>
      <c r="BD12" s="65" t="str">
        <f t="shared" si="2"/>
        <v>Lacking</v>
      </c>
      <c r="BE12" s="67">
        <f t="shared" si="3"/>
        <v>60</v>
      </c>
      <c r="BF12" s="68" t="e">
        <f t="shared" si="4"/>
        <v>#REF!</v>
      </c>
    </row>
    <row r="13" spans="1:58" s="69" customFormat="1" ht="16.5" customHeight="1" x14ac:dyDescent="0.25">
      <c r="A13" s="9" t="s">
        <v>260</v>
      </c>
      <c r="B13" s="102">
        <v>8217</v>
      </c>
      <c r="C13" s="103" t="s">
        <v>296</v>
      </c>
      <c r="D13" s="103" t="s">
        <v>297</v>
      </c>
      <c r="E13" s="104">
        <v>60</v>
      </c>
      <c r="F13" s="117">
        <v>46288</v>
      </c>
      <c r="G13" s="105" t="e">
        <f>VLOOKUP(C13,#REF!,12,0)</f>
        <v>#REF!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7" t="s">
        <v>290</v>
      </c>
      <c r="T13" s="108"/>
      <c r="U13" s="108" t="s">
        <v>291</v>
      </c>
      <c r="V13" s="108" t="s">
        <v>298</v>
      </c>
      <c r="W13" s="109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>
        <f t="shared" si="5"/>
        <v>0</v>
      </c>
      <c r="BD13" s="65" t="str">
        <f t="shared" si="2"/>
        <v>Lacking</v>
      </c>
      <c r="BE13" s="67">
        <f t="shared" si="3"/>
        <v>60</v>
      </c>
      <c r="BF13" s="68" t="e">
        <f t="shared" si="4"/>
        <v>#REF!</v>
      </c>
    </row>
    <row r="14" spans="1:58" s="69" customFormat="1" ht="16.5" customHeight="1" x14ac:dyDescent="0.25">
      <c r="A14" s="9" t="s">
        <v>260</v>
      </c>
      <c r="B14" s="102">
        <v>8217</v>
      </c>
      <c r="C14" s="103" t="s">
        <v>25</v>
      </c>
      <c r="D14" s="103" t="s">
        <v>26</v>
      </c>
      <c r="E14" s="110">
        <v>135</v>
      </c>
      <c r="F14" s="117">
        <v>46288</v>
      </c>
      <c r="G14" s="105" t="e">
        <f>VLOOKUP(C14,#REF!,12,0)</f>
        <v>#REF!</v>
      </c>
      <c r="H14" s="106"/>
      <c r="I14" s="106"/>
      <c r="J14" s="106"/>
      <c r="K14" s="106"/>
      <c r="L14" s="106"/>
      <c r="M14" s="106"/>
      <c r="N14" s="106"/>
      <c r="O14" s="106"/>
      <c r="P14" s="106"/>
      <c r="Q14" s="106">
        <v>135</v>
      </c>
      <c r="R14" s="106"/>
      <c r="S14" s="107"/>
      <c r="T14" s="108"/>
      <c r="U14" s="108" t="s">
        <v>291</v>
      </c>
      <c r="V14" s="108" t="s">
        <v>299</v>
      </c>
      <c r="W14" s="109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6">
        <f t="shared" si="5"/>
        <v>0</v>
      </c>
      <c r="BD14" s="65" t="str">
        <f t="shared" si="2"/>
        <v>Lacking</v>
      </c>
      <c r="BE14" s="67">
        <f t="shared" si="3"/>
        <v>135</v>
      </c>
      <c r="BF14" s="68" t="e">
        <f t="shared" si="4"/>
        <v>#REF!</v>
      </c>
    </row>
    <row r="15" spans="1:58" s="69" customFormat="1" ht="16.5" customHeight="1" x14ac:dyDescent="0.25">
      <c r="A15" s="9" t="s">
        <v>260</v>
      </c>
      <c r="B15" s="102">
        <v>8217</v>
      </c>
      <c r="C15" s="103" t="s">
        <v>300</v>
      </c>
      <c r="D15" s="103" t="s">
        <v>301</v>
      </c>
      <c r="E15" s="110">
        <v>60</v>
      </c>
      <c r="F15" s="117">
        <v>46288</v>
      </c>
      <c r="G15" s="105" t="e">
        <f>VLOOKUP(C15,#REF!,12,0)</f>
        <v>#REF!</v>
      </c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7"/>
      <c r="T15" s="108"/>
      <c r="U15" s="108" t="s">
        <v>291</v>
      </c>
      <c r="V15" s="108" t="s">
        <v>302</v>
      </c>
      <c r="W15" s="109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6">
        <f t="shared" si="5"/>
        <v>0</v>
      </c>
      <c r="BD15" s="65" t="str">
        <f t="shared" si="2"/>
        <v>Lacking</v>
      </c>
      <c r="BE15" s="67">
        <f t="shared" si="3"/>
        <v>60</v>
      </c>
      <c r="BF15" s="68" t="e">
        <f t="shared" si="4"/>
        <v>#REF!</v>
      </c>
    </row>
    <row r="16" spans="1:58" ht="16.5" customHeight="1" x14ac:dyDescent="0.25">
      <c r="A16" s="9" t="s">
        <v>260</v>
      </c>
      <c r="B16" s="94">
        <v>8217</v>
      </c>
      <c r="C16" s="88" t="s">
        <v>303</v>
      </c>
      <c r="D16" s="88" t="s">
        <v>304</v>
      </c>
      <c r="E16" s="101">
        <v>60</v>
      </c>
      <c r="F16" s="117">
        <v>46288</v>
      </c>
      <c r="G16" s="96" t="e">
        <f>VLOOKUP(C16,#REF!,12,0)</f>
        <v>#REF!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8" t="s">
        <v>290</v>
      </c>
      <c r="T16" s="99"/>
      <c r="U16" s="99"/>
      <c r="V16" s="99"/>
      <c r="W16" s="10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59">
        <f t="shared" si="5"/>
        <v>0</v>
      </c>
      <c r="BD16" s="60" t="str">
        <f t="shared" si="2"/>
        <v>Lacking</v>
      </c>
      <c r="BE16" s="61">
        <f t="shared" si="3"/>
        <v>60</v>
      </c>
      <c r="BF16" s="62" t="e">
        <f t="shared" si="4"/>
        <v>#REF!</v>
      </c>
    </row>
    <row r="17" spans="1:58" ht="16.5" customHeight="1" x14ac:dyDescent="0.25">
      <c r="A17" s="9" t="s">
        <v>260</v>
      </c>
      <c r="B17" s="94">
        <v>8217</v>
      </c>
      <c r="C17" s="88" t="s">
        <v>305</v>
      </c>
      <c r="D17" s="88"/>
      <c r="E17" s="95"/>
      <c r="F17" s="117">
        <v>46288</v>
      </c>
      <c r="G17" s="96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8" t="s">
        <v>290</v>
      </c>
      <c r="T17" s="99"/>
      <c r="U17" s="99"/>
      <c r="V17" s="99"/>
      <c r="W17" s="10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59"/>
      <c r="BD17" s="60"/>
      <c r="BE17" s="61"/>
      <c r="BF17" s="62"/>
    </row>
    <row r="18" spans="1:58" ht="16.5" customHeight="1" x14ac:dyDescent="0.25">
      <c r="A18" s="9" t="s">
        <v>260</v>
      </c>
      <c r="B18" s="94">
        <v>8217</v>
      </c>
      <c r="C18" s="88" t="s">
        <v>31</v>
      </c>
      <c r="D18" s="88"/>
      <c r="E18" s="95"/>
      <c r="F18" s="117">
        <v>46288</v>
      </c>
      <c r="G18" s="96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8" t="s">
        <v>290</v>
      </c>
      <c r="T18" s="99"/>
      <c r="U18" s="99" t="s">
        <v>306</v>
      </c>
      <c r="V18" s="99"/>
      <c r="W18" s="10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59"/>
      <c r="BD18" s="60"/>
      <c r="BE18" s="61"/>
      <c r="BF18" s="62"/>
    </row>
    <row r="19" spans="1:58" ht="16.5" customHeight="1" x14ac:dyDescent="0.25">
      <c r="A19" s="9" t="s">
        <v>260</v>
      </c>
      <c r="B19" s="94">
        <v>8217</v>
      </c>
      <c r="C19" s="88" t="s">
        <v>307</v>
      </c>
      <c r="D19" s="88"/>
      <c r="E19" s="95"/>
      <c r="F19" s="117">
        <v>46288</v>
      </c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 t="s">
        <v>290</v>
      </c>
      <c r="T19" s="99"/>
      <c r="U19" s="99" t="s">
        <v>308</v>
      </c>
      <c r="V19" s="99"/>
      <c r="W19" s="10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59"/>
      <c r="BD19" s="60"/>
      <c r="BE19" s="61"/>
      <c r="BF19" s="62"/>
    </row>
    <row r="20" spans="1:58" ht="16.5" customHeight="1" x14ac:dyDescent="0.25">
      <c r="A20" s="9" t="s">
        <v>260</v>
      </c>
      <c r="B20" s="94">
        <v>8217</v>
      </c>
      <c r="C20" s="88" t="s">
        <v>309</v>
      </c>
      <c r="D20" s="88"/>
      <c r="E20" s="95"/>
      <c r="F20" s="117">
        <v>46288</v>
      </c>
      <c r="G20" s="96"/>
      <c r="H20" s="97">
        <v>60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8" t="s">
        <v>290</v>
      </c>
      <c r="T20" s="99"/>
      <c r="U20" s="99"/>
      <c r="V20" s="99"/>
      <c r="W20" s="10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59"/>
      <c r="BD20" s="60"/>
      <c r="BE20" s="61"/>
      <c r="BF20" s="62"/>
    </row>
    <row r="21" spans="1:58" ht="16.5" customHeight="1" x14ac:dyDescent="0.25">
      <c r="A21" s="9" t="s">
        <v>260</v>
      </c>
      <c r="B21" s="94">
        <v>8217</v>
      </c>
      <c r="C21" s="88" t="s">
        <v>310</v>
      </c>
      <c r="D21" s="88"/>
      <c r="E21" s="95"/>
      <c r="F21" s="117">
        <v>46288</v>
      </c>
      <c r="G21" s="96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8" t="s">
        <v>290</v>
      </c>
      <c r="T21" s="99"/>
      <c r="U21" s="99" t="s">
        <v>311</v>
      </c>
      <c r="V21" s="99"/>
      <c r="W21" s="10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59"/>
      <c r="BD21" s="60"/>
      <c r="BE21" s="61"/>
      <c r="BF21" s="62"/>
    </row>
    <row r="22" spans="1:58" ht="16.5" customHeight="1" x14ac:dyDescent="0.25">
      <c r="A22" s="9" t="s">
        <v>260</v>
      </c>
      <c r="B22" s="94">
        <v>8217</v>
      </c>
      <c r="C22" s="88" t="s">
        <v>312</v>
      </c>
      <c r="D22" s="88"/>
      <c r="E22" s="95"/>
      <c r="F22" s="117">
        <v>46288</v>
      </c>
      <c r="G22" s="96"/>
      <c r="H22" s="97"/>
      <c r="I22" s="97"/>
      <c r="J22" s="97"/>
      <c r="K22" s="97"/>
      <c r="L22" s="97"/>
      <c r="M22" s="97"/>
      <c r="N22" s="97"/>
      <c r="O22" s="97"/>
      <c r="P22" s="97"/>
      <c r="Q22" s="97">
        <v>60</v>
      </c>
      <c r="R22" s="97"/>
      <c r="S22" s="98" t="s">
        <v>290</v>
      </c>
      <c r="T22" s="99"/>
      <c r="U22" s="99" t="s">
        <v>291</v>
      </c>
      <c r="V22" s="99"/>
      <c r="W22" s="10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59"/>
      <c r="BD22" s="60"/>
      <c r="BE22" s="61"/>
      <c r="BF22" s="62"/>
    </row>
    <row r="23" spans="1:58" ht="16.5" customHeight="1" x14ac:dyDescent="0.25">
      <c r="A23" s="9" t="s">
        <v>260</v>
      </c>
      <c r="B23" s="94">
        <v>8217</v>
      </c>
      <c r="C23" s="88" t="s">
        <v>313</v>
      </c>
      <c r="D23" s="88"/>
      <c r="E23" s="95"/>
      <c r="F23" s="117">
        <v>46288</v>
      </c>
      <c r="G23" s="96"/>
      <c r="H23" s="97"/>
      <c r="I23" s="97"/>
      <c r="J23" s="97"/>
      <c r="K23" s="97"/>
      <c r="L23" s="97"/>
      <c r="M23" s="97"/>
      <c r="N23" s="97"/>
      <c r="O23" s="97"/>
      <c r="P23" s="97"/>
      <c r="Q23" s="97">
        <v>60</v>
      </c>
      <c r="R23" s="97"/>
      <c r="S23" s="98" t="s">
        <v>290</v>
      </c>
      <c r="T23" s="99"/>
      <c r="U23" s="99" t="s">
        <v>291</v>
      </c>
      <c r="V23" s="99"/>
      <c r="W23" s="10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59"/>
      <c r="BD23" s="60"/>
      <c r="BE23" s="61"/>
      <c r="BF23" s="62"/>
    </row>
    <row r="24" spans="1:58" ht="16.5" customHeight="1" x14ac:dyDescent="0.25">
      <c r="A24" s="9" t="s">
        <v>260</v>
      </c>
      <c r="B24" s="94">
        <v>8217</v>
      </c>
      <c r="C24" s="88" t="s">
        <v>101</v>
      </c>
      <c r="D24" s="88" t="s">
        <v>102</v>
      </c>
      <c r="E24" s="101">
        <v>60</v>
      </c>
      <c r="F24" s="117">
        <v>46288</v>
      </c>
      <c r="G24" s="96" t="e">
        <f>VLOOKUP(C24,#REF!,12,0)</f>
        <v>#REF!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8" t="s">
        <v>290</v>
      </c>
      <c r="T24" s="99"/>
      <c r="U24" s="99"/>
      <c r="V24" s="99" t="s">
        <v>314</v>
      </c>
      <c r="W24" s="10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59">
        <f t="shared" si="5"/>
        <v>0</v>
      </c>
      <c r="BD24" s="60" t="str">
        <f>IF(BC24=E24,"Complete","Lacking")</f>
        <v>Lacking</v>
      </c>
      <c r="BE24" s="61">
        <f>E24-BC24</f>
        <v>60</v>
      </c>
      <c r="BF24" s="62" t="e">
        <f>BC24*G24</f>
        <v>#REF!</v>
      </c>
    </row>
    <row r="25" spans="1:58" ht="16.5" customHeight="1" x14ac:dyDescent="0.25">
      <c r="A25" s="9" t="s">
        <v>260</v>
      </c>
      <c r="B25" s="94">
        <v>8217</v>
      </c>
      <c r="C25" s="88" t="s">
        <v>315</v>
      </c>
      <c r="D25" s="88"/>
      <c r="E25" s="95"/>
      <c r="F25" s="117">
        <v>46288</v>
      </c>
      <c r="G25" s="96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8" t="s">
        <v>290</v>
      </c>
      <c r="T25" s="99"/>
      <c r="U25" s="99" t="s">
        <v>308</v>
      </c>
      <c r="V25" s="99"/>
      <c r="W25" s="10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59"/>
      <c r="BD25" s="60"/>
      <c r="BE25" s="61"/>
      <c r="BF25" s="62"/>
    </row>
    <row r="26" spans="1:58" ht="33" customHeight="1" x14ac:dyDescent="0.25">
      <c r="A26" s="9" t="s">
        <v>260</v>
      </c>
      <c r="B26" s="94">
        <v>8217</v>
      </c>
      <c r="C26" s="88" t="s">
        <v>51</v>
      </c>
      <c r="D26" s="88"/>
      <c r="E26" s="95"/>
      <c r="F26" s="117">
        <v>46288</v>
      </c>
      <c r="G26" s="96"/>
      <c r="H26" s="97">
        <v>60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8" t="s">
        <v>290</v>
      </c>
      <c r="T26" s="99"/>
      <c r="U26" s="99" t="s">
        <v>316</v>
      </c>
      <c r="V26" s="99"/>
      <c r="W26" s="10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59"/>
      <c r="BD26" s="60"/>
      <c r="BE26" s="61"/>
      <c r="BF26" s="62"/>
    </row>
    <row r="27" spans="1:58" ht="16.5" customHeight="1" x14ac:dyDescent="0.25">
      <c r="A27" s="9" t="s">
        <v>260</v>
      </c>
      <c r="B27" s="94">
        <v>8217</v>
      </c>
      <c r="C27" s="88" t="s">
        <v>310</v>
      </c>
      <c r="D27" s="88"/>
      <c r="E27" s="95"/>
      <c r="F27" s="117">
        <v>46288</v>
      </c>
      <c r="G27" s="96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8" t="s">
        <v>290</v>
      </c>
      <c r="T27" s="99"/>
      <c r="U27" s="99" t="s">
        <v>311</v>
      </c>
      <c r="V27" s="99"/>
      <c r="W27" s="10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59"/>
      <c r="BD27" s="60"/>
      <c r="BE27" s="61"/>
      <c r="BF27" s="62"/>
    </row>
    <row r="28" spans="1:58" ht="16.5" customHeight="1" x14ac:dyDescent="0.25">
      <c r="A28" s="9" t="s">
        <v>260</v>
      </c>
      <c r="B28" s="94">
        <v>8217</v>
      </c>
      <c r="C28" s="88" t="s">
        <v>125</v>
      </c>
      <c r="D28" s="88"/>
      <c r="E28" s="95"/>
      <c r="F28" s="117">
        <v>46288</v>
      </c>
      <c r="G28" s="96"/>
      <c r="H28" s="97"/>
      <c r="I28" s="97"/>
      <c r="J28" s="97"/>
      <c r="K28" s="97"/>
      <c r="L28" s="97"/>
      <c r="M28" s="97"/>
      <c r="N28" s="97"/>
      <c r="O28" s="97"/>
      <c r="P28" s="97"/>
      <c r="Q28" s="97">
        <v>60</v>
      </c>
      <c r="R28" s="97"/>
      <c r="S28" s="98" t="s">
        <v>290</v>
      </c>
      <c r="T28" s="99"/>
      <c r="U28" s="99" t="s">
        <v>317</v>
      </c>
      <c r="V28" s="99"/>
      <c r="W28" s="10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59"/>
      <c r="BD28" s="60"/>
      <c r="BE28" s="61"/>
      <c r="BF28" s="62"/>
    </row>
    <row r="29" spans="1:58" ht="16.5" customHeight="1" x14ac:dyDescent="0.25">
      <c r="A29" s="9" t="s">
        <v>260</v>
      </c>
      <c r="B29" s="94">
        <v>8217</v>
      </c>
      <c r="C29" s="88" t="s">
        <v>67</v>
      </c>
      <c r="D29" s="88"/>
      <c r="E29" s="95"/>
      <c r="F29" s="117">
        <v>46288</v>
      </c>
      <c r="G29" s="96"/>
      <c r="H29" s="97"/>
      <c r="I29" s="97"/>
      <c r="J29" s="97"/>
      <c r="K29" s="97"/>
      <c r="L29" s="97"/>
      <c r="M29" s="97"/>
      <c r="N29" s="97"/>
      <c r="O29" s="97"/>
      <c r="P29" s="97"/>
      <c r="Q29" s="97">
        <v>60</v>
      </c>
      <c r="R29" s="97"/>
      <c r="S29" s="98" t="s">
        <v>290</v>
      </c>
      <c r="T29" s="99"/>
      <c r="U29" s="99" t="s">
        <v>318</v>
      </c>
      <c r="V29" s="99"/>
      <c r="W29" s="10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59"/>
      <c r="BD29" s="60"/>
      <c r="BE29" s="61"/>
      <c r="BF29" s="62"/>
    </row>
    <row r="30" spans="1:58" ht="16.5" customHeight="1" x14ac:dyDescent="0.25">
      <c r="A30" s="9" t="s">
        <v>260</v>
      </c>
      <c r="B30" s="94">
        <v>8217</v>
      </c>
      <c r="C30" s="88" t="s">
        <v>312</v>
      </c>
      <c r="D30" s="88"/>
      <c r="E30" s="95"/>
      <c r="F30" s="117">
        <v>46288</v>
      </c>
      <c r="G30" s="96"/>
      <c r="H30" s="97"/>
      <c r="I30" s="97"/>
      <c r="J30" s="97"/>
      <c r="K30" s="97"/>
      <c r="L30" s="97"/>
      <c r="M30" s="97"/>
      <c r="N30" s="97"/>
      <c r="O30" s="97"/>
      <c r="P30" s="97"/>
      <c r="Q30" s="97">
        <v>60</v>
      </c>
      <c r="R30" s="97"/>
      <c r="S30" s="98" t="s">
        <v>290</v>
      </c>
      <c r="T30" s="99"/>
      <c r="U30" s="99" t="s">
        <v>291</v>
      </c>
      <c r="V30" s="99"/>
      <c r="W30" s="10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59"/>
      <c r="BD30" s="60"/>
      <c r="BE30" s="61"/>
      <c r="BF30" s="62"/>
    </row>
    <row r="31" spans="1:58" ht="16.5" customHeight="1" x14ac:dyDescent="0.25">
      <c r="A31" s="9" t="s">
        <v>260</v>
      </c>
      <c r="B31" s="94">
        <v>8217</v>
      </c>
      <c r="C31" s="88" t="s">
        <v>313</v>
      </c>
      <c r="D31" s="88"/>
      <c r="E31" s="95"/>
      <c r="F31" s="117">
        <v>46288</v>
      </c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>
        <v>60</v>
      </c>
      <c r="R31" s="97"/>
      <c r="S31" s="98" t="s">
        <v>290</v>
      </c>
      <c r="T31" s="99"/>
      <c r="U31" s="99" t="s">
        <v>291</v>
      </c>
      <c r="V31" s="99"/>
      <c r="W31" s="10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59"/>
      <c r="BD31" s="60"/>
      <c r="BE31" s="61"/>
      <c r="BF31" s="62"/>
    </row>
    <row r="32" spans="1:58" ht="16.5" customHeight="1" x14ac:dyDescent="0.25">
      <c r="A32" s="9" t="s">
        <v>260</v>
      </c>
      <c r="B32" s="94">
        <v>8217</v>
      </c>
      <c r="C32" s="88" t="s">
        <v>61</v>
      </c>
      <c r="D32" s="88" t="s">
        <v>62</v>
      </c>
      <c r="E32" s="95">
        <v>30</v>
      </c>
      <c r="F32" s="117">
        <v>46288</v>
      </c>
      <c r="G32" s="96" t="e">
        <f>VLOOKUP(C32,#REF!,12,0)</f>
        <v>#REF!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8"/>
      <c r="T32" s="99"/>
      <c r="U32" s="99"/>
      <c r="V32" s="99" t="s">
        <v>319</v>
      </c>
      <c r="W32" s="10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59">
        <f t="shared" si="5"/>
        <v>0</v>
      </c>
      <c r="BD32" s="60" t="str">
        <f>IF(BC32=E32,"Complete","Lacking")</f>
        <v>Lacking</v>
      </c>
      <c r="BE32" s="61">
        <f>E32-BC32</f>
        <v>30</v>
      </c>
      <c r="BF32" s="62" t="e">
        <f>BC32*G32</f>
        <v>#REF!</v>
      </c>
    </row>
    <row r="33" spans="1:58" ht="16.5" customHeight="1" x14ac:dyDescent="0.25">
      <c r="A33" s="9" t="s">
        <v>260</v>
      </c>
      <c r="B33" s="94">
        <v>8217</v>
      </c>
      <c r="C33" s="88" t="s">
        <v>315</v>
      </c>
      <c r="D33" s="88"/>
      <c r="E33" s="95"/>
      <c r="F33" s="117">
        <v>46288</v>
      </c>
      <c r="G33" s="96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8"/>
      <c r="T33" s="99"/>
      <c r="U33" s="99" t="s">
        <v>308</v>
      </c>
      <c r="V33" s="99"/>
      <c r="W33" s="10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59"/>
      <c r="BD33" s="60"/>
      <c r="BE33" s="61"/>
      <c r="BF33" s="62"/>
    </row>
    <row r="34" spans="1:58" ht="16.5" customHeight="1" x14ac:dyDescent="0.25">
      <c r="A34" s="9" t="s">
        <v>260</v>
      </c>
      <c r="B34" s="94">
        <v>8217</v>
      </c>
      <c r="C34" s="88" t="s">
        <v>320</v>
      </c>
      <c r="D34" s="88"/>
      <c r="E34" s="95"/>
      <c r="F34" s="117">
        <v>46288</v>
      </c>
      <c r="G34" s="96"/>
      <c r="H34" s="97"/>
      <c r="I34" s="97"/>
      <c r="J34" s="97"/>
      <c r="K34" s="97"/>
      <c r="L34" s="97"/>
      <c r="M34" s="97"/>
      <c r="N34" s="97"/>
      <c r="O34" s="97"/>
      <c r="P34" s="97"/>
      <c r="Q34" s="97">
        <v>30</v>
      </c>
      <c r="R34" s="97"/>
      <c r="S34" s="98"/>
      <c r="T34" s="99"/>
      <c r="U34" s="99" t="s">
        <v>321</v>
      </c>
      <c r="V34" s="99"/>
      <c r="W34" s="10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59"/>
      <c r="BD34" s="60"/>
      <c r="BE34" s="61"/>
      <c r="BF34" s="62"/>
    </row>
    <row r="35" spans="1:58" ht="16.5" customHeight="1" x14ac:dyDescent="0.25">
      <c r="A35" s="9" t="s">
        <v>260</v>
      </c>
      <c r="B35" s="94">
        <v>8217</v>
      </c>
      <c r="C35" s="88" t="s">
        <v>189</v>
      </c>
      <c r="D35" s="88"/>
      <c r="E35" s="95"/>
      <c r="F35" s="117">
        <v>46288</v>
      </c>
      <c r="G35" s="96"/>
      <c r="H35" s="97"/>
      <c r="I35" s="97"/>
      <c r="J35" s="97"/>
      <c r="K35" s="97"/>
      <c r="L35" s="97"/>
      <c r="M35" s="97"/>
      <c r="N35" s="97"/>
      <c r="O35" s="97"/>
      <c r="P35" s="97"/>
      <c r="Q35" s="97">
        <v>30</v>
      </c>
      <c r="R35" s="97"/>
      <c r="S35" s="98"/>
      <c r="T35" s="99"/>
      <c r="U35" s="99" t="s">
        <v>322</v>
      </c>
      <c r="V35" s="99"/>
      <c r="W35" s="10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59"/>
      <c r="BD35" s="60"/>
      <c r="BE35" s="61"/>
      <c r="BF35" s="62"/>
    </row>
    <row r="36" spans="1:58" ht="16.5" customHeight="1" x14ac:dyDescent="0.25">
      <c r="A36" s="9" t="s">
        <v>260</v>
      </c>
      <c r="B36" s="94">
        <v>8217</v>
      </c>
      <c r="C36" s="88" t="s">
        <v>119</v>
      </c>
      <c r="D36" s="88"/>
      <c r="E36" s="95"/>
      <c r="F36" s="117">
        <v>46288</v>
      </c>
      <c r="G36" s="9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8"/>
      <c r="T36" s="99"/>
      <c r="U36" s="99" t="s">
        <v>323</v>
      </c>
      <c r="V36" s="99"/>
      <c r="W36" s="10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59"/>
      <c r="BD36" s="60"/>
      <c r="BE36" s="61"/>
      <c r="BF36" s="62"/>
    </row>
    <row r="37" spans="1:58" ht="16.5" customHeight="1" x14ac:dyDescent="0.25">
      <c r="A37" s="9" t="s">
        <v>260</v>
      </c>
      <c r="B37" s="94">
        <v>8217</v>
      </c>
      <c r="C37" s="88" t="s">
        <v>153</v>
      </c>
      <c r="D37" s="88"/>
      <c r="E37" s="95"/>
      <c r="F37" s="117">
        <v>46288</v>
      </c>
      <c r="G37" s="9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8"/>
      <c r="T37" s="99"/>
      <c r="U37" s="99" t="s">
        <v>324</v>
      </c>
      <c r="V37" s="99"/>
      <c r="W37" s="10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59"/>
      <c r="BD37" s="60"/>
      <c r="BE37" s="61"/>
      <c r="BF37" s="62"/>
    </row>
    <row r="38" spans="1:58" ht="16.5" customHeight="1" x14ac:dyDescent="0.25">
      <c r="A38" s="9" t="s">
        <v>260</v>
      </c>
      <c r="B38" s="94">
        <v>8217</v>
      </c>
      <c r="C38" s="88" t="s">
        <v>313</v>
      </c>
      <c r="D38" s="88"/>
      <c r="E38" s="95"/>
      <c r="F38" s="117">
        <v>46288</v>
      </c>
      <c r="G38" s="96"/>
      <c r="H38" s="97"/>
      <c r="I38" s="97"/>
      <c r="J38" s="97"/>
      <c r="K38" s="97"/>
      <c r="L38" s="97"/>
      <c r="M38" s="97"/>
      <c r="N38" s="97"/>
      <c r="O38" s="97"/>
      <c r="P38" s="97"/>
      <c r="Q38" s="97">
        <v>30</v>
      </c>
      <c r="R38" s="97"/>
      <c r="S38" s="98"/>
      <c r="T38" s="99"/>
      <c r="U38" s="99" t="s">
        <v>291</v>
      </c>
      <c r="V38" s="99"/>
      <c r="W38" s="10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59"/>
      <c r="BD38" s="60"/>
      <c r="BE38" s="61"/>
      <c r="BF38" s="62"/>
    </row>
    <row r="39" spans="1:58" ht="16.5" customHeight="1" x14ac:dyDescent="0.25">
      <c r="A39" s="9" t="s">
        <v>260</v>
      </c>
      <c r="B39" s="94">
        <v>8217</v>
      </c>
      <c r="C39" s="88" t="s">
        <v>312</v>
      </c>
      <c r="D39" s="88"/>
      <c r="E39" s="95"/>
      <c r="F39" s="117">
        <v>46288</v>
      </c>
      <c r="G39" s="96"/>
      <c r="H39" s="97"/>
      <c r="I39" s="97"/>
      <c r="J39" s="97"/>
      <c r="K39" s="97"/>
      <c r="L39" s="97"/>
      <c r="M39" s="97"/>
      <c r="N39" s="97"/>
      <c r="O39" s="97"/>
      <c r="P39" s="97"/>
      <c r="Q39" s="97">
        <v>30</v>
      </c>
      <c r="R39" s="97"/>
      <c r="S39" s="98"/>
      <c r="T39" s="99"/>
      <c r="U39" s="99" t="s">
        <v>308</v>
      </c>
      <c r="V39" s="99"/>
      <c r="W39" s="10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59"/>
      <c r="BD39" s="60"/>
      <c r="BE39" s="61"/>
      <c r="BF39" s="62"/>
    </row>
    <row r="40" spans="1:58" ht="16.5" customHeight="1" x14ac:dyDescent="0.25">
      <c r="A40" s="9" t="s">
        <v>260</v>
      </c>
      <c r="B40" s="94">
        <v>8217</v>
      </c>
      <c r="C40" s="88" t="s">
        <v>307</v>
      </c>
      <c r="D40" s="88"/>
      <c r="E40" s="95"/>
      <c r="F40" s="117">
        <v>46288</v>
      </c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8"/>
      <c r="T40" s="99"/>
      <c r="U40" s="99"/>
      <c r="V40" s="99"/>
      <c r="W40" s="10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59"/>
      <c r="BD40" s="60"/>
      <c r="BE40" s="61"/>
      <c r="BF40" s="62"/>
    </row>
    <row r="41" spans="1:58" ht="32.25" customHeight="1" x14ac:dyDescent="0.25">
      <c r="A41" s="9" t="s">
        <v>260</v>
      </c>
      <c r="B41" s="94">
        <v>8217</v>
      </c>
      <c r="C41" s="88" t="s">
        <v>131</v>
      </c>
      <c r="D41" s="88"/>
      <c r="E41" s="95"/>
      <c r="F41" s="117">
        <v>46288</v>
      </c>
      <c r="G41" s="96"/>
      <c r="H41" s="97">
        <v>30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8"/>
      <c r="T41" s="99"/>
      <c r="U41" s="99" t="s">
        <v>325</v>
      </c>
      <c r="V41" s="99"/>
      <c r="W41" s="10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59"/>
      <c r="BD41" s="60"/>
      <c r="BE41" s="61"/>
      <c r="BF41" s="62"/>
    </row>
    <row r="42" spans="1:58" ht="16.5" customHeight="1" x14ac:dyDescent="0.25">
      <c r="A42" s="9" t="s">
        <v>260</v>
      </c>
      <c r="B42" s="94">
        <v>8217</v>
      </c>
      <c r="C42" s="88" t="s">
        <v>103</v>
      </c>
      <c r="D42" s="88" t="s">
        <v>104</v>
      </c>
      <c r="E42" s="95">
        <v>30</v>
      </c>
      <c r="F42" s="117">
        <v>46288</v>
      </c>
      <c r="G42" s="96" t="e">
        <f>VLOOKUP(C42,#REF!,12,0)</f>
        <v>#REF!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8"/>
      <c r="T42" s="99"/>
      <c r="U42" s="99"/>
      <c r="V42" s="99" t="s">
        <v>326</v>
      </c>
      <c r="W42" s="10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59">
        <f t="shared" si="5"/>
        <v>0</v>
      </c>
      <c r="BD42" s="60" t="str">
        <f>IF(BC42=E42,"Complete","Lacking")</f>
        <v>Lacking</v>
      </c>
      <c r="BE42" s="61">
        <f>E42-BC42</f>
        <v>30</v>
      </c>
      <c r="BF42" s="62" t="e">
        <f>BC42*G42</f>
        <v>#REF!</v>
      </c>
    </row>
    <row r="43" spans="1:58" ht="16.5" customHeight="1" x14ac:dyDescent="0.25">
      <c r="A43" s="9" t="s">
        <v>260</v>
      </c>
      <c r="B43" s="94">
        <v>8217</v>
      </c>
      <c r="C43" s="88" t="s">
        <v>315</v>
      </c>
      <c r="D43" s="88"/>
      <c r="E43" s="95"/>
      <c r="F43" s="117">
        <v>46288</v>
      </c>
      <c r="G43" s="96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8"/>
      <c r="T43" s="99"/>
      <c r="U43" s="99" t="s">
        <v>308</v>
      </c>
      <c r="V43" s="99"/>
      <c r="W43" s="10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59"/>
      <c r="BD43" s="60"/>
      <c r="BE43" s="61"/>
      <c r="BF43" s="62"/>
    </row>
    <row r="44" spans="1:58" ht="16.5" customHeight="1" x14ac:dyDescent="0.25">
      <c r="A44" s="9" t="s">
        <v>260</v>
      </c>
      <c r="B44" s="94">
        <v>8217</v>
      </c>
      <c r="C44" s="88" t="s">
        <v>327</v>
      </c>
      <c r="D44" s="88"/>
      <c r="E44" s="95"/>
      <c r="F44" s="117">
        <v>46288</v>
      </c>
      <c r="G44" s="96"/>
      <c r="H44" s="97"/>
      <c r="I44" s="97"/>
      <c r="J44" s="97"/>
      <c r="K44" s="97"/>
      <c r="L44" s="97"/>
      <c r="M44" s="97"/>
      <c r="N44" s="97"/>
      <c r="O44" s="97"/>
      <c r="P44" s="97"/>
      <c r="Q44" s="97">
        <v>30</v>
      </c>
      <c r="R44" s="97"/>
      <c r="S44" s="98"/>
      <c r="T44" s="99"/>
      <c r="U44" s="99" t="s">
        <v>291</v>
      </c>
      <c r="V44" s="99"/>
      <c r="W44" s="10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59"/>
      <c r="BD44" s="60"/>
      <c r="BE44" s="61"/>
      <c r="BF44" s="62"/>
    </row>
    <row r="45" spans="1:58" ht="16.5" customHeight="1" x14ac:dyDescent="0.25">
      <c r="A45" s="9" t="s">
        <v>260</v>
      </c>
      <c r="B45" s="94">
        <v>8217</v>
      </c>
      <c r="C45" s="88" t="s">
        <v>328</v>
      </c>
      <c r="D45" s="88"/>
      <c r="E45" s="95"/>
      <c r="F45" s="117">
        <v>46288</v>
      </c>
      <c r="G45" s="9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8"/>
      <c r="T45" s="99"/>
      <c r="U45" s="99" t="s">
        <v>291</v>
      </c>
      <c r="V45" s="99"/>
      <c r="W45" s="10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59"/>
      <c r="BD45" s="60"/>
      <c r="BE45" s="61"/>
      <c r="BF45" s="62"/>
    </row>
    <row r="46" spans="1:58" ht="16.5" customHeight="1" x14ac:dyDescent="0.25">
      <c r="A46" s="9" t="s">
        <v>260</v>
      </c>
      <c r="B46" s="94">
        <v>8217</v>
      </c>
      <c r="C46" s="88" t="s">
        <v>329</v>
      </c>
      <c r="D46" s="88"/>
      <c r="E46" s="95"/>
      <c r="F46" s="117">
        <v>46288</v>
      </c>
      <c r="G46" s="96"/>
      <c r="H46" s="97"/>
      <c r="I46" s="97"/>
      <c r="J46" s="97"/>
      <c r="K46" s="97"/>
      <c r="L46" s="97"/>
      <c r="M46" s="97"/>
      <c r="N46" s="97"/>
      <c r="O46" s="97"/>
      <c r="P46" s="97">
        <v>30</v>
      </c>
      <c r="Q46" s="97"/>
      <c r="R46" s="97"/>
      <c r="S46" s="98"/>
      <c r="T46" s="99"/>
      <c r="U46" s="99" t="s">
        <v>322</v>
      </c>
      <c r="V46" s="99"/>
      <c r="W46" s="10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59"/>
      <c r="BD46" s="60"/>
      <c r="BE46" s="61"/>
      <c r="BF46" s="62"/>
    </row>
    <row r="47" spans="1:58" ht="16.5" customHeight="1" x14ac:dyDescent="0.25">
      <c r="A47" s="9" t="s">
        <v>260</v>
      </c>
      <c r="B47" s="94">
        <v>8217</v>
      </c>
      <c r="C47" s="88" t="s">
        <v>123</v>
      </c>
      <c r="D47" s="88"/>
      <c r="E47" s="95"/>
      <c r="F47" s="117">
        <v>46288</v>
      </c>
      <c r="G47" s="96"/>
      <c r="H47" s="97"/>
      <c r="I47" s="97"/>
      <c r="J47" s="97"/>
      <c r="K47" s="97"/>
      <c r="L47" s="97"/>
      <c r="M47" s="97"/>
      <c r="N47" s="97"/>
      <c r="O47" s="97"/>
      <c r="P47" s="97"/>
      <c r="Q47" s="97">
        <v>30</v>
      </c>
      <c r="R47" s="97"/>
      <c r="S47" s="98"/>
      <c r="T47" s="99"/>
      <c r="U47" s="99" t="s">
        <v>323</v>
      </c>
      <c r="V47" s="99"/>
      <c r="W47" s="10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59"/>
      <c r="BD47" s="60"/>
      <c r="BE47" s="61"/>
      <c r="BF47" s="62"/>
    </row>
    <row r="48" spans="1:58" ht="16.5" customHeight="1" x14ac:dyDescent="0.25">
      <c r="A48" s="9" t="s">
        <v>260</v>
      </c>
      <c r="B48" s="94">
        <v>8217</v>
      </c>
      <c r="C48" s="88" t="s">
        <v>313</v>
      </c>
      <c r="D48" s="88"/>
      <c r="E48" s="95"/>
      <c r="F48" s="117">
        <v>46288</v>
      </c>
      <c r="G48" s="96"/>
      <c r="H48" s="97"/>
      <c r="I48" s="97"/>
      <c r="J48" s="97"/>
      <c r="K48" s="97"/>
      <c r="L48" s="97"/>
      <c r="M48" s="97"/>
      <c r="N48" s="97"/>
      <c r="O48" s="97"/>
      <c r="P48" s="97"/>
      <c r="Q48" s="97">
        <v>30</v>
      </c>
      <c r="R48" s="97"/>
      <c r="S48" s="98"/>
      <c r="T48" s="99"/>
      <c r="U48" s="99" t="s">
        <v>291</v>
      </c>
      <c r="V48" s="99"/>
      <c r="W48" s="10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59"/>
      <c r="BD48" s="60"/>
      <c r="BE48" s="61"/>
      <c r="BF48" s="62"/>
    </row>
    <row r="49" spans="1:58" ht="16.5" customHeight="1" x14ac:dyDescent="0.25">
      <c r="A49" s="9" t="s">
        <v>260</v>
      </c>
      <c r="B49" s="94">
        <v>8217</v>
      </c>
      <c r="C49" s="88" t="s">
        <v>312</v>
      </c>
      <c r="D49" s="88"/>
      <c r="E49" s="95"/>
      <c r="F49" s="117">
        <v>46288</v>
      </c>
      <c r="G49" s="96"/>
      <c r="H49" s="97"/>
      <c r="I49" s="97"/>
      <c r="J49" s="97"/>
      <c r="K49" s="97"/>
      <c r="L49" s="97"/>
      <c r="M49" s="97"/>
      <c r="N49" s="97"/>
      <c r="O49" s="97"/>
      <c r="P49" s="97"/>
      <c r="Q49" s="97">
        <v>30</v>
      </c>
      <c r="R49" s="97"/>
      <c r="S49" s="98"/>
      <c r="T49" s="99"/>
      <c r="U49" s="99" t="s">
        <v>291</v>
      </c>
      <c r="V49" s="99"/>
      <c r="W49" s="10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59"/>
      <c r="BD49" s="60"/>
      <c r="BE49" s="61"/>
      <c r="BF49" s="62"/>
    </row>
    <row r="50" spans="1:58" ht="16.5" customHeight="1" x14ac:dyDescent="0.25">
      <c r="A50" s="9" t="s">
        <v>260</v>
      </c>
      <c r="B50" s="94">
        <v>8217</v>
      </c>
      <c r="C50" s="88" t="s">
        <v>307</v>
      </c>
      <c r="D50" s="88"/>
      <c r="E50" s="95"/>
      <c r="F50" s="117">
        <v>46288</v>
      </c>
      <c r="G50" s="9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8"/>
      <c r="T50" s="99"/>
      <c r="U50" s="99" t="s">
        <v>308</v>
      </c>
      <c r="V50" s="99"/>
      <c r="W50" s="10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59"/>
      <c r="BD50" s="60"/>
      <c r="BE50" s="61"/>
      <c r="BF50" s="62"/>
    </row>
    <row r="51" spans="1:58" ht="16.5" customHeight="1" x14ac:dyDescent="0.25">
      <c r="A51" s="9" t="s">
        <v>260</v>
      </c>
      <c r="B51" s="94">
        <v>8217</v>
      </c>
      <c r="C51" s="88" t="s">
        <v>330</v>
      </c>
      <c r="D51" s="88"/>
      <c r="E51" s="95"/>
      <c r="F51" s="117">
        <v>46288</v>
      </c>
      <c r="G51" s="96"/>
      <c r="H51" s="97">
        <v>30</v>
      </c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8"/>
      <c r="T51" s="99"/>
      <c r="U51" s="99" t="s">
        <v>331</v>
      </c>
      <c r="V51" s="99"/>
      <c r="W51" s="10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59"/>
      <c r="BD51" s="60"/>
      <c r="BE51" s="61"/>
      <c r="BF51" s="62"/>
    </row>
    <row r="52" spans="1:58" ht="16.5" customHeight="1" x14ac:dyDescent="0.25">
      <c r="A52" s="9" t="s">
        <v>260</v>
      </c>
      <c r="B52" s="94">
        <v>8217</v>
      </c>
      <c r="C52" s="88" t="s">
        <v>332</v>
      </c>
      <c r="D52" s="88" t="s">
        <v>333</v>
      </c>
      <c r="E52" s="95">
        <v>30</v>
      </c>
      <c r="F52" s="117">
        <v>46288</v>
      </c>
      <c r="G52" s="96" t="e">
        <f>VLOOKUP(C52,#REF!,12,0)</f>
        <v>#REF!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8"/>
      <c r="T52" s="99"/>
      <c r="U52" s="99"/>
      <c r="V52" s="99" t="s">
        <v>334</v>
      </c>
      <c r="W52" s="10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59">
        <f t="shared" si="5"/>
        <v>0</v>
      </c>
      <c r="BD52" s="60" t="str">
        <f>IF(BC52=E52,"Complete","Lacking")</f>
        <v>Lacking</v>
      </c>
      <c r="BE52" s="61">
        <f>E52-BC52</f>
        <v>30</v>
      </c>
      <c r="BF52" s="62" t="e">
        <f>BC52*G52</f>
        <v>#REF!</v>
      </c>
    </row>
    <row r="53" spans="1:58" ht="16.5" customHeight="1" x14ac:dyDescent="0.25">
      <c r="A53" s="9" t="s">
        <v>260</v>
      </c>
      <c r="B53" s="94">
        <v>8217</v>
      </c>
      <c r="C53" s="88" t="s">
        <v>315</v>
      </c>
      <c r="D53" s="88"/>
      <c r="E53" s="95"/>
      <c r="F53" s="117">
        <v>46288</v>
      </c>
      <c r="G53" s="9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8"/>
      <c r="T53" s="99"/>
      <c r="U53" s="99" t="s">
        <v>308</v>
      </c>
      <c r="V53" s="99"/>
      <c r="W53" s="10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59"/>
      <c r="BD53" s="60"/>
      <c r="BE53" s="61"/>
      <c r="BF53" s="62"/>
    </row>
    <row r="54" spans="1:58" ht="16.5" customHeight="1" x14ac:dyDescent="0.25">
      <c r="A54" s="9" t="s">
        <v>260</v>
      </c>
      <c r="B54" s="94">
        <v>8217</v>
      </c>
      <c r="C54" s="88" t="s">
        <v>320</v>
      </c>
      <c r="D54" s="88"/>
      <c r="E54" s="95"/>
      <c r="F54" s="117">
        <v>46288</v>
      </c>
      <c r="G54" s="9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8"/>
      <c r="T54" s="99"/>
      <c r="U54" s="99" t="s">
        <v>335</v>
      </c>
      <c r="V54" s="99"/>
      <c r="W54" s="10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59"/>
      <c r="BD54" s="60"/>
      <c r="BE54" s="61"/>
      <c r="BF54" s="62"/>
    </row>
    <row r="55" spans="1:58" ht="16.5" customHeight="1" x14ac:dyDescent="0.25">
      <c r="A55" s="9" t="s">
        <v>260</v>
      </c>
      <c r="B55" s="94">
        <v>8217</v>
      </c>
      <c r="C55" s="88" t="s">
        <v>336</v>
      </c>
      <c r="D55" s="88"/>
      <c r="E55" s="95"/>
      <c r="F55" s="117">
        <v>46288</v>
      </c>
      <c r="G55" s="9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8"/>
      <c r="T55" s="99"/>
      <c r="U55" s="99" t="s">
        <v>337</v>
      </c>
      <c r="V55" s="99"/>
      <c r="W55" s="10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59"/>
      <c r="BD55" s="60"/>
      <c r="BE55" s="61"/>
      <c r="BF55" s="62"/>
    </row>
    <row r="56" spans="1:58" ht="16.5" customHeight="1" x14ac:dyDescent="0.25">
      <c r="A56" s="9" t="s">
        <v>260</v>
      </c>
      <c r="B56" s="94">
        <v>8217</v>
      </c>
      <c r="C56" s="88" t="s">
        <v>338</v>
      </c>
      <c r="D56" s="88"/>
      <c r="E56" s="95"/>
      <c r="F56" s="117">
        <v>46288</v>
      </c>
      <c r="G56" s="9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8"/>
      <c r="T56" s="99"/>
      <c r="U56" s="99" t="s">
        <v>339</v>
      </c>
      <c r="V56" s="99"/>
      <c r="W56" s="10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59"/>
      <c r="BD56" s="60"/>
      <c r="BE56" s="61"/>
      <c r="BF56" s="62"/>
    </row>
    <row r="57" spans="1:58" ht="16.5" customHeight="1" x14ac:dyDescent="0.25">
      <c r="A57" s="9" t="s">
        <v>260</v>
      </c>
      <c r="B57" s="94">
        <v>8217</v>
      </c>
      <c r="C57" s="88" t="s">
        <v>189</v>
      </c>
      <c r="D57" s="88"/>
      <c r="E57" s="95"/>
      <c r="F57" s="117">
        <v>46288</v>
      </c>
      <c r="G57" s="9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8"/>
      <c r="T57" s="99"/>
      <c r="U57" s="99" t="s">
        <v>322</v>
      </c>
      <c r="V57" s="99"/>
      <c r="W57" s="10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59"/>
      <c r="BD57" s="60"/>
      <c r="BE57" s="61"/>
      <c r="BF57" s="62"/>
    </row>
    <row r="58" spans="1:58" ht="16.5" customHeight="1" x14ac:dyDescent="0.25">
      <c r="A58" s="9" t="s">
        <v>260</v>
      </c>
      <c r="B58" s="94">
        <v>8217</v>
      </c>
      <c r="C58" s="88" t="s">
        <v>125</v>
      </c>
      <c r="D58" s="88"/>
      <c r="E58" s="95"/>
      <c r="F58" s="117">
        <v>46288</v>
      </c>
      <c r="G58" s="9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8"/>
      <c r="T58" s="99"/>
      <c r="U58" s="99" t="s">
        <v>323</v>
      </c>
      <c r="V58" s="99"/>
      <c r="W58" s="10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59"/>
      <c r="BD58" s="60"/>
      <c r="BE58" s="61"/>
      <c r="BF58" s="62"/>
    </row>
    <row r="59" spans="1:58" ht="16.5" customHeight="1" x14ac:dyDescent="0.25">
      <c r="A59" s="9" t="s">
        <v>260</v>
      </c>
      <c r="B59" s="94">
        <v>8217</v>
      </c>
      <c r="C59" s="88" t="s">
        <v>340</v>
      </c>
      <c r="D59" s="88"/>
      <c r="E59" s="95"/>
      <c r="F59" s="117">
        <v>46288</v>
      </c>
      <c r="G59" s="96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8"/>
      <c r="T59" s="99"/>
      <c r="U59" s="99" t="s">
        <v>308</v>
      </c>
      <c r="V59" s="99"/>
      <c r="W59" s="10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59"/>
      <c r="BD59" s="60"/>
      <c r="BE59" s="61"/>
      <c r="BF59" s="62"/>
    </row>
    <row r="60" spans="1:58" ht="16.5" customHeight="1" x14ac:dyDescent="0.25">
      <c r="A60" s="9" t="s">
        <v>260</v>
      </c>
      <c r="B60" s="94">
        <v>8217</v>
      </c>
      <c r="C60" s="88" t="s">
        <v>312</v>
      </c>
      <c r="D60" s="88"/>
      <c r="E60" s="95"/>
      <c r="F60" s="117">
        <v>46288</v>
      </c>
      <c r="G60" s="96"/>
      <c r="H60" s="97"/>
      <c r="I60" s="97"/>
      <c r="J60" s="97"/>
      <c r="K60" s="97"/>
      <c r="L60" s="97"/>
      <c r="M60" s="97"/>
      <c r="N60" s="97"/>
      <c r="O60" s="97"/>
      <c r="P60" s="97"/>
      <c r="Q60" s="97">
        <v>30</v>
      </c>
      <c r="R60" s="97"/>
      <c r="S60" s="98"/>
      <c r="T60" s="99"/>
      <c r="U60" s="99" t="s">
        <v>291</v>
      </c>
      <c r="V60" s="99"/>
      <c r="W60" s="10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59"/>
      <c r="BD60" s="60"/>
      <c r="BE60" s="61"/>
      <c r="BF60" s="62"/>
    </row>
    <row r="61" spans="1:58" ht="16.5" customHeight="1" x14ac:dyDescent="0.25">
      <c r="A61" s="9" t="s">
        <v>260</v>
      </c>
      <c r="B61" s="94">
        <v>8217</v>
      </c>
      <c r="C61" s="88" t="s">
        <v>313</v>
      </c>
      <c r="D61" s="88"/>
      <c r="E61" s="95"/>
      <c r="F61" s="117">
        <v>46288</v>
      </c>
      <c r="G61" s="96"/>
      <c r="H61" s="97"/>
      <c r="I61" s="97"/>
      <c r="J61" s="97"/>
      <c r="K61" s="97"/>
      <c r="L61" s="97"/>
      <c r="M61" s="97"/>
      <c r="N61" s="97"/>
      <c r="O61" s="97"/>
      <c r="P61" s="97"/>
      <c r="Q61" s="97">
        <v>30</v>
      </c>
      <c r="R61" s="97"/>
      <c r="S61" s="98"/>
      <c r="T61" s="99"/>
      <c r="U61" s="99" t="s">
        <v>291</v>
      </c>
      <c r="V61" s="99"/>
      <c r="W61" s="10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59"/>
      <c r="BD61" s="60"/>
      <c r="BE61" s="61"/>
      <c r="BF61" s="62"/>
    </row>
    <row r="62" spans="1:58" ht="16.5" customHeight="1" x14ac:dyDescent="0.25">
      <c r="A62" s="9" t="s">
        <v>260</v>
      </c>
      <c r="B62" s="94">
        <v>8217</v>
      </c>
      <c r="C62" s="111" t="s">
        <v>341</v>
      </c>
      <c r="D62" s="88" t="s">
        <v>342</v>
      </c>
      <c r="E62" s="95">
        <v>30</v>
      </c>
      <c r="F62" s="117">
        <v>46288</v>
      </c>
      <c r="G62" s="96" t="e">
        <f>VLOOKUP(C62,#REF!,12,0)</f>
        <v>#REF!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8"/>
      <c r="T62" s="99"/>
      <c r="U62" s="99"/>
      <c r="V62" s="99"/>
      <c r="W62" s="10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59">
        <f t="shared" si="5"/>
        <v>0</v>
      </c>
      <c r="BD62" s="60" t="str">
        <f>IF(BC62=E62,"Complete","Lacking")</f>
        <v>Lacking</v>
      </c>
      <c r="BE62" s="61">
        <f>E62-BC62</f>
        <v>30</v>
      </c>
      <c r="BF62" s="62" t="e">
        <f>BC62*G62</f>
        <v>#REF!</v>
      </c>
    </row>
    <row r="63" spans="1:58" ht="16.5" customHeight="1" x14ac:dyDescent="0.25">
      <c r="A63" s="9" t="s">
        <v>260</v>
      </c>
      <c r="B63" s="94">
        <v>8217</v>
      </c>
      <c r="C63" s="111" t="s">
        <v>315</v>
      </c>
      <c r="D63" s="88"/>
      <c r="E63" s="95"/>
      <c r="F63" s="117">
        <v>46288</v>
      </c>
      <c r="G63" s="9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8"/>
      <c r="T63" s="99"/>
      <c r="U63" s="99" t="s">
        <v>308</v>
      </c>
      <c r="V63" s="99"/>
      <c r="W63" s="10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59"/>
      <c r="BD63" s="60"/>
      <c r="BE63" s="61"/>
      <c r="BF63" s="62"/>
    </row>
    <row r="64" spans="1:58" ht="16.5" customHeight="1" x14ac:dyDescent="0.25">
      <c r="A64" s="9" t="s">
        <v>260</v>
      </c>
      <c r="B64" s="94">
        <v>8217</v>
      </c>
      <c r="C64" s="111" t="s">
        <v>312</v>
      </c>
      <c r="D64" s="88"/>
      <c r="E64" s="95"/>
      <c r="F64" s="117">
        <v>46288</v>
      </c>
      <c r="G64" s="96"/>
      <c r="H64" s="97"/>
      <c r="I64" s="97"/>
      <c r="J64" s="97"/>
      <c r="K64" s="97"/>
      <c r="L64" s="97"/>
      <c r="M64" s="97"/>
      <c r="N64" s="97"/>
      <c r="O64" s="97"/>
      <c r="P64" s="97"/>
      <c r="Q64" s="97">
        <v>30</v>
      </c>
      <c r="R64" s="97"/>
      <c r="S64" s="98"/>
      <c r="T64" s="99"/>
      <c r="U64" s="99" t="s">
        <v>291</v>
      </c>
      <c r="V64" s="99"/>
      <c r="W64" s="10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59"/>
      <c r="BD64" s="60"/>
      <c r="BE64" s="61"/>
      <c r="BF64" s="62"/>
    </row>
    <row r="65" spans="1:58" ht="16.5" customHeight="1" x14ac:dyDescent="0.25">
      <c r="A65" s="9" t="s">
        <v>260</v>
      </c>
      <c r="B65" s="94">
        <v>8217</v>
      </c>
      <c r="C65" s="111" t="s">
        <v>327</v>
      </c>
      <c r="D65" s="88"/>
      <c r="E65" s="95"/>
      <c r="F65" s="117">
        <v>46288</v>
      </c>
      <c r="G65" s="9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8"/>
      <c r="T65" s="99"/>
      <c r="U65" s="99" t="s">
        <v>291</v>
      </c>
      <c r="V65" s="99"/>
      <c r="W65" s="10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59"/>
      <c r="BD65" s="60"/>
      <c r="BE65" s="61"/>
      <c r="BF65" s="62"/>
    </row>
    <row r="66" spans="1:58" ht="16.5" customHeight="1" x14ac:dyDescent="0.25">
      <c r="A66" s="9" t="s">
        <v>260</v>
      </c>
      <c r="B66" s="94">
        <v>8217</v>
      </c>
      <c r="C66" s="111" t="s">
        <v>343</v>
      </c>
      <c r="D66" s="88"/>
      <c r="E66" s="95"/>
      <c r="F66" s="117">
        <v>46288</v>
      </c>
      <c r="G66" s="9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8"/>
      <c r="T66" s="99"/>
      <c r="U66" s="99" t="s">
        <v>344</v>
      </c>
      <c r="V66" s="99"/>
      <c r="W66" s="10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59"/>
      <c r="BD66" s="60"/>
      <c r="BE66" s="61"/>
      <c r="BF66" s="62"/>
    </row>
    <row r="67" spans="1:58" ht="16.5" customHeight="1" x14ac:dyDescent="0.25">
      <c r="A67" s="9" t="s">
        <v>260</v>
      </c>
      <c r="B67" s="94">
        <v>8217</v>
      </c>
      <c r="C67" s="111" t="s">
        <v>345</v>
      </c>
      <c r="D67" s="88"/>
      <c r="E67" s="95"/>
      <c r="F67" s="117">
        <v>46288</v>
      </c>
      <c r="G67" s="9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8"/>
      <c r="T67" s="99"/>
      <c r="U67" s="99" t="s">
        <v>291</v>
      </c>
      <c r="V67" s="99"/>
      <c r="W67" s="10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59"/>
      <c r="BD67" s="60"/>
      <c r="BE67" s="61"/>
      <c r="BF67" s="62"/>
    </row>
    <row r="68" spans="1:58" ht="16.5" customHeight="1" x14ac:dyDescent="0.25">
      <c r="A68" s="9" t="s">
        <v>260</v>
      </c>
      <c r="B68" s="94">
        <v>8217</v>
      </c>
      <c r="C68" s="111" t="s">
        <v>329</v>
      </c>
      <c r="D68" s="88"/>
      <c r="E68" s="95"/>
      <c r="F68" s="117">
        <v>46288</v>
      </c>
      <c r="G68" s="9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99"/>
      <c r="U68" s="99" t="s">
        <v>322</v>
      </c>
      <c r="V68" s="99"/>
      <c r="W68" s="10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59"/>
      <c r="BD68" s="60"/>
      <c r="BE68" s="61"/>
      <c r="BF68" s="62"/>
    </row>
    <row r="69" spans="1:58" ht="16.5" customHeight="1" x14ac:dyDescent="0.25">
      <c r="A69" s="9" t="s">
        <v>260</v>
      </c>
      <c r="B69" s="94">
        <v>8217</v>
      </c>
      <c r="C69" s="111" t="s">
        <v>340</v>
      </c>
      <c r="D69" s="88"/>
      <c r="E69" s="95"/>
      <c r="F69" s="117">
        <v>46288</v>
      </c>
      <c r="G69" s="9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8"/>
      <c r="T69" s="99"/>
      <c r="U69" s="99" t="s">
        <v>308</v>
      </c>
      <c r="V69" s="99"/>
      <c r="W69" s="10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59"/>
      <c r="BD69" s="60"/>
      <c r="BE69" s="61"/>
      <c r="BF69" s="62"/>
    </row>
    <row r="70" spans="1:58" ht="16.5" customHeight="1" x14ac:dyDescent="0.25">
      <c r="A70" s="9" t="s">
        <v>260</v>
      </c>
      <c r="B70" s="94">
        <v>8217</v>
      </c>
      <c r="C70" s="111" t="s">
        <v>313</v>
      </c>
      <c r="D70" s="88"/>
      <c r="E70" s="95"/>
      <c r="F70" s="117">
        <v>46288</v>
      </c>
      <c r="G70" s="96"/>
      <c r="H70" s="97"/>
      <c r="I70" s="97"/>
      <c r="J70" s="97"/>
      <c r="K70" s="97"/>
      <c r="L70" s="97"/>
      <c r="M70" s="97"/>
      <c r="N70" s="97"/>
      <c r="O70" s="97"/>
      <c r="P70" s="97"/>
      <c r="Q70" s="97">
        <v>30</v>
      </c>
      <c r="R70" s="97"/>
      <c r="S70" s="98"/>
      <c r="T70" s="99"/>
      <c r="U70" s="99" t="s">
        <v>291</v>
      </c>
      <c r="V70" s="99"/>
      <c r="W70" s="10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59"/>
      <c r="BD70" s="60"/>
      <c r="BE70" s="61"/>
      <c r="BF70" s="62"/>
    </row>
    <row r="71" spans="1:58" ht="16.5" customHeight="1" x14ac:dyDescent="0.25">
      <c r="A71" s="9" t="s">
        <v>260</v>
      </c>
      <c r="B71" s="94">
        <v>8217</v>
      </c>
      <c r="C71" s="111" t="s">
        <v>33</v>
      </c>
      <c r="D71" s="88"/>
      <c r="E71" s="95"/>
      <c r="F71" s="117">
        <v>46288</v>
      </c>
      <c r="G71" s="9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8"/>
      <c r="T71" s="99"/>
      <c r="U71" s="99" t="s">
        <v>323</v>
      </c>
      <c r="V71" s="99"/>
      <c r="W71" s="10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59"/>
      <c r="BD71" s="60"/>
      <c r="BE71" s="61"/>
      <c r="BF71" s="62"/>
    </row>
    <row r="72" spans="1:58" s="63" customFormat="1" x14ac:dyDescent="0.25">
      <c r="A72" s="9" t="s">
        <v>260</v>
      </c>
      <c r="B72" s="48">
        <v>8217</v>
      </c>
      <c r="C72" s="49" t="s">
        <v>346</v>
      </c>
      <c r="D72" s="49" t="s">
        <v>347</v>
      </c>
      <c r="E72" s="50">
        <v>30</v>
      </c>
      <c r="F72" s="117">
        <v>46288</v>
      </c>
      <c r="G72" s="51" t="e">
        <f>VLOOKUP(C72,#REF!,12,0)</f>
        <v>#REF!</v>
      </c>
      <c r="H72" s="52"/>
      <c r="I72" s="52"/>
      <c r="J72" s="52"/>
      <c r="K72" s="52"/>
      <c r="L72" s="52"/>
      <c r="M72" s="52"/>
      <c r="N72" s="52"/>
      <c r="O72" s="52"/>
      <c r="P72" s="52"/>
      <c r="Q72" s="52">
        <v>30</v>
      </c>
      <c r="R72" s="70"/>
      <c r="S72" s="53"/>
      <c r="T72" s="54"/>
      <c r="U72" s="54" t="s">
        <v>348</v>
      </c>
      <c r="V72" s="54" t="s">
        <v>349</v>
      </c>
      <c r="W72" s="55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2">
        <f t="shared" si="5"/>
        <v>0</v>
      </c>
      <c r="BD72" s="71" t="str">
        <f t="shared" ref="BD72:BD127" si="6">IF(BC72=E72,"Complete","Lacking")</f>
        <v>Lacking</v>
      </c>
      <c r="BE72" s="73">
        <f t="shared" ref="BE72:BE127" si="7">E72-BC72</f>
        <v>30</v>
      </c>
      <c r="BF72" s="74" t="e">
        <f t="shared" ref="BF72:BF127" si="8">BC72*G72</f>
        <v>#REF!</v>
      </c>
    </row>
    <row r="73" spans="1:58" s="63" customFormat="1" ht="16.5" customHeight="1" x14ac:dyDescent="0.25">
      <c r="A73" s="9" t="s">
        <v>260</v>
      </c>
      <c r="B73" s="48">
        <v>8217</v>
      </c>
      <c r="C73" s="49" t="s">
        <v>350</v>
      </c>
      <c r="D73" s="49" t="s">
        <v>351</v>
      </c>
      <c r="E73" s="50">
        <v>30</v>
      </c>
      <c r="F73" s="117">
        <v>46288</v>
      </c>
      <c r="G73" s="51" t="e">
        <f>VLOOKUP(C73,#REF!,12,0)</f>
        <v>#REF!</v>
      </c>
      <c r="H73" s="52"/>
      <c r="I73" s="52"/>
      <c r="J73" s="52"/>
      <c r="K73" s="52"/>
      <c r="L73" s="52"/>
      <c r="M73" s="52"/>
      <c r="N73" s="52"/>
      <c r="O73" s="52"/>
      <c r="P73" s="52"/>
      <c r="Q73" s="52">
        <v>30</v>
      </c>
      <c r="R73" s="52"/>
      <c r="S73" s="53"/>
      <c r="T73" s="75"/>
      <c r="U73" s="54" t="s">
        <v>348</v>
      </c>
      <c r="V73" s="75" t="s">
        <v>352</v>
      </c>
      <c r="W73" s="55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2">
        <f t="shared" si="5"/>
        <v>0</v>
      </c>
      <c r="BD73" s="71" t="str">
        <f t="shared" si="6"/>
        <v>Lacking</v>
      </c>
      <c r="BE73" s="73">
        <f t="shared" si="7"/>
        <v>30</v>
      </c>
      <c r="BF73" s="74" t="e">
        <f t="shared" si="8"/>
        <v>#REF!</v>
      </c>
    </row>
    <row r="74" spans="1:58" s="63" customFormat="1" ht="16.5" customHeight="1" x14ac:dyDescent="0.25">
      <c r="A74" s="9" t="s">
        <v>260</v>
      </c>
      <c r="B74" s="48">
        <v>8217</v>
      </c>
      <c r="C74" s="49" t="s">
        <v>353</v>
      </c>
      <c r="D74" s="49" t="s">
        <v>354</v>
      </c>
      <c r="E74" s="50">
        <v>30</v>
      </c>
      <c r="F74" s="117">
        <v>46288</v>
      </c>
      <c r="G74" s="51" t="e">
        <f>VLOOKUP(C74,#REF!,12,0)</f>
        <v>#REF!</v>
      </c>
      <c r="H74" s="52"/>
      <c r="I74" s="52"/>
      <c r="J74" s="52">
        <v>30</v>
      </c>
      <c r="K74" s="52"/>
      <c r="L74" s="52"/>
      <c r="M74" s="52"/>
      <c r="N74" s="52"/>
      <c r="O74" s="52"/>
      <c r="P74" s="52"/>
      <c r="Q74" s="52"/>
      <c r="R74" s="52"/>
      <c r="S74" s="53"/>
      <c r="T74" s="75"/>
      <c r="U74" s="54" t="s">
        <v>355</v>
      </c>
      <c r="V74" s="75"/>
      <c r="W74" s="55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2">
        <f t="shared" si="5"/>
        <v>0</v>
      </c>
      <c r="BD74" s="71" t="str">
        <f t="shared" si="6"/>
        <v>Lacking</v>
      </c>
      <c r="BE74" s="73">
        <f t="shared" si="7"/>
        <v>30</v>
      </c>
      <c r="BF74" s="74" t="e">
        <f t="shared" si="8"/>
        <v>#REF!</v>
      </c>
    </row>
    <row r="75" spans="1:58" s="63" customFormat="1" ht="16.5" customHeight="1" x14ac:dyDescent="0.25">
      <c r="A75" s="9" t="s">
        <v>260</v>
      </c>
      <c r="B75" s="48">
        <v>8217</v>
      </c>
      <c r="C75" s="49" t="s">
        <v>356</v>
      </c>
      <c r="D75" s="49" t="s">
        <v>357</v>
      </c>
      <c r="E75" s="112">
        <f>50-13</f>
        <v>37</v>
      </c>
      <c r="F75" s="117">
        <v>46288</v>
      </c>
      <c r="G75" s="51" t="e">
        <f>VLOOKUP(C75,#REF!,12,0)</f>
        <v>#REF!</v>
      </c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3"/>
      <c r="T75" s="54"/>
      <c r="U75" s="54" t="s">
        <v>308</v>
      </c>
      <c r="V75" s="54" t="s">
        <v>358</v>
      </c>
      <c r="W75" s="55" t="s">
        <v>221</v>
      </c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2">
        <f t="shared" si="5"/>
        <v>0</v>
      </c>
      <c r="BD75" s="71" t="str">
        <f t="shared" si="6"/>
        <v>Lacking</v>
      </c>
      <c r="BE75" s="73">
        <f t="shared" si="7"/>
        <v>37</v>
      </c>
      <c r="BF75" s="74" t="e">
        <f t="shared" si="8"/>
        <v>#REF!</v>
      </c>
    </row>
    <row r="76" spans="1:58" s="63" customFormat="1" ht="16.5" customHeight="1" x14ac:dyDescent="0.25">
      <c r="A76" s="9" t="s">
        <v>260</v>
      </c>
      <c r="B76" s="48">
        <v>8217</v>
      </c>
      <c r="C76" s="49" t="s">
        <v>359</v>
      </c>
      <c r="D76" s="49" t="s">
        <v>360</v>
      </c>
      <c r="E76" s="112">
        <f>150-40</f>
        <v>110</v>
      </c>
      <c r="F76" s="117">
        <v>46288</v>
      </c>
      <c r="G76" s="51" t="e">
        <f>VLOOKUP(C76,#REF!,12,0)</f>
        <v>#REF!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3"/>
      <c r="T76" s="54"/>
      <c r="U76" s="54" t="s">
        <v>308</v>
      </c>
      <c r="V76" s="54" t="s">
        <v>361</v>
      </c>
      <c r="W76" s="76" t="s">
        <v>224</v>
      </c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2">
        <f t="shared" si="5"/>
        <v>0</v>
      </c>
      <c r="BD76" s="71" t="str">
        <f t="shared" si="6"/>
        <v>Lacking</v>
      </c>
      <c r="BE76" s="73">
        <f t="shared" si="7"/>
        <v>110</v>
      </c>
      <c r="BF76" s="74" t="e">
        <f t="shared" si="8"/>
        <v>#REF!</v>
      </c>
    </row>
    <row r="77" spans="1:58" s="63" customFormat="1" ht="16.5" customHeight="1" x14ac:dyDescent="0.25">
      <c r="A77" s="9" t="s">
        <v>260</v>
      </c>
      <c r="B77" s="48">
        <v>8217</v>
      </c>
      <c r="C77" s="49" t="s">
        <v>362</v>
      </c>
      <c r="D77" s="49" t="s">
        <v>363</v>
      </c>
      <c r="E77" s="112">
        <f>50-13</f>
        <v>37</v>
      </c>
      <c r="F77" s="117">
        <v>46288</v>
      </c>
      <c r="G77" s="51" t="e">
        <f>VLOOKUP(C77,#REF!,12,0)</f>
        <v>#REF!</v>
      </c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3"/>
      <c r="T77" s="54"/>
      <c r="U77" s="54" t="s">
        <v>308</v>
      </c>
      <c r="V77" s="54" t="s">
        <v>364</v>
      </c>
      <c r="W77" s="55" t="s">
        <v>225</v>
      </c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2">
        <f t="shared" si="5"/>
        <v>0</v>
      </c>
      <c r="BD77" s="71" t="str">
        <f t="shared" si="6"/>
        <v>Lacking</v>
      </c>
      <c r="BE77" s="73">
        <f t="shared" si="7"/>
        <v>37</v>
      </c>
      <c r="BF77" s="74" t="e">
        <f t="shared" si="8"/>
        <v>#REF!</v>
      </c>
    </row>
    <row r="78" spans="1:58" s="63" customFormat="1" ht="16.5" customHeight="1" x14ac:dyDescent="0.25">
      <c r="A78" s="9" t="s">
        <v>260</v>
      </c>
      <c r="B78" s="48">
        <v>8217</v>
      </c>
      <c r="C78" s="49" t="s">
        <v>365</v>
      </c>
      <c r="D78" s="49" t="s">
        <v>366</v>
      </c>
      <c r="E78" s="112">
        <f>50-13</f>
        <v>37</v>
      </c>
      <c r="F78" s="117">
        <v>46288</v>
      </c>
      <c r="G78" s="51" t="e">
        <f>VLOOKUP(C78,#REF!,12,0)</f>
        <v>#REF!</v>
      </c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3"/>
      <c r="T78" s="54"/>
      <c r="U78" s="54" t="s">
        <v>308</v>
      </c>
      <c r="V78" s="54" t="s">
        <v>367</v>
      </c>
      <c r="W78" s="55" t="s">
        <v>228</v>
      </c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2">
        <f t="shared" si="5"/>
        <v>0</v>
      </c>
      <c r="BD78" s="71" t="str">
        <f t="shared" si="6"/>
        <v>Lacking</v>
      </c>
      <c r="BE78" s="73">
        <f t="shared" si="7"/>
        <v>37</v>
      </c>
      <c r="BF78" s="74" t="e">
        <f t="shared" si="8"/>
        <v>#REF!</v>
      </c>
    </row>
    <row r="79" spans="1:58" s="63" customFormat="1" ht="16.5" customHeight="1" x14ac:dyDescent="0.25">
      <c r="A79" s="9" t="s">
        <v>260</v>
      </c>
      <c r="B79" s="48">
        <v>8217</v>
      </c>
      <c r="C79" s="49" t="s">
        <v>19</v>
      </c>
      <c r="D79" s="49" t="s">
        <v>20</v>
      </c>
      <c r="E79" s="50">
        <v>300</v>
      </c>
      <c r="F79" s="117">
        <v>46288</v>
      </c>
      <c r="G79" s="51" t="e">
        <f>VLOOKUP(C79,#REF!,12,0)</f>
        <v>#REF!</v>
      </c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70"/>
      <c r="S79" s="53"/>
      <c r="T79" s="54"/>
      <c r="U79" s="54" t="s">
        <v>368</v>
      </c>
      <c r="V79" s="54" t="s">
        <v>369</v>
      </c>
      <c r="W79" s="55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2">
        <f t="shared" si="5"/>
        <v>0</v>
      </c>
      <c r="BD79" s="71" t="str">
        <f t="shared" si="6"/>
        <v>Lacking</v>
      </c>
      <c r="BE79" s="73">
        <f t="shared" si="7"/>
        <v>300</v>
      </c>
      <c r="BF79" s="74" t="e">
        <f t="shared" si="8"/>
        <v>#REF!</v>
      </c>
    </row>
    <row r="80" spans="1:58" s="63" customFormat="1" ht="17.25" customHeight="1" x14ac:dyDescent="0.25">
      <c r="A80" s="9" t="s">
        <v>260</v>
      </c>
      <c r="B80" s="48">
        <v>8217</v>
      </c>
      <c r="C80" s="49" t="s">
        <v>370</v>
      </c>
      <c r="D80" s="49" t="s">
        <v>371</v>
      </c>
      <c r="E80" s="64">
        <f>215+25</f>
        <v>240</v>
      </c>
      <c r="F80" s="117">
        <v>46288</v>
      </c>
      <c r="G80" s="51" t="e">
        <f>VLOOKUP(C80,#REF!,12,0)</f>
        <v>#REF!</v>
      </c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8" t="s">
        <v>290</v>
      </c>
      <c r="T80" s="54"/>
      <c r="U80" s="54" t="s">
        <v>372</v>
      </c>
      <c r="V80" s="54" t="s">
        <v>373</v>
      </c>
      <c r="W80" s="79" t="s">
        <v>233</v>
      </c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2">
        <f t="shared" si="5"/>
        <v>0</v>
      </c>
      <c r="BD80" s="71" t="str">
        <f t="shared" si="6"/>
        <v>Lacking</v>
      </c>
      <c r="BE80" s="73">
        <f t="shared" si="7"/>
        <v>240</v>
      </c>
      <c r="BF80" s="74" t="e">
        <f t="shared" si="8"/>
        <v>#REF!</v>
      </c>
    </row>
    <row r="81" spans="1:58" s="63" customFormat="1" ht="15.75" customHeight="1" x14ac:dyDescent="0.25">
      <c r="A81" s="9" t="s">
        <v>260</v>
      </c>
      <c r="B81" s="48">
        <v>8217</v>
      </c>
      <c r="C81" s="49" t="s">
        <v>9</v>
      </c>
      <c r="D81" s="49" t="s">
        <v>10</v>
      </c>
      <c r="E81" s="112">
        <f>30+4</f>
        <v>34</v>
      </c>
      <c r="F81" s="117">
        <v>46288</v>
      </c>
      <c r="G81" s="51" t="e">
        <f>VLOOKUP(C81,#REF!,12,0)</f>
        <v>#REF!</v>
      </c>
      <c r="H81" s="73">
        <v>30</v>
      </c>
      <c r="I81" s="74"/>
      <c r="J81" s="74"/>
      <c r="K81" s="74"/>
      <c r="L81" s="74"/>
      <c r="M81" s="74"/>
      <c r="N81" s="74"/>
      <c r="O81" s="74"/>
      <c r="P81" s="74"/>
      <c r="Q81" s="74"/>
      <c r="R81" s="70"/>
      <c r="S81" s="53"/>
      <c r="T81" s="54"/>
      <c r="U81" s="54" t="s">
        <v>374</v>
      </c>
      <c r="V81" s="54" t="s">
        <v>373</v>
      </c>
      <c r="W81" s="55" t="s">
        <v>234</v>
      </c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2">
        <f t="shared" si="5"/>
        <v>0</v>
      </c>
      <c r="BD81" s="71" t="str">
        <f t="shared" si="6"/>
        <v>Lacking</v>
      </c>
      <c r="BE81" s="73">
        <f t="shared" si="7"/>
        <v>34</v>
      </c>
      <c r="BF81" s="74" t="e">
        <f t="shared" si="8"/>
        <v>#REF!</v>
      </c>
    </row>
    <row r="82" spans="1:58" s="63" customFormat="1" ht="16.5" customHeight="1" x14ac:dyDescent="0.25">
      <c r="A82" s="9" t="s">
        <v>260</v>
      </c>
      <c r="B82" s="48">
        <v>8217</v>
      </c>
      <c r="C82" s="49" t="s">
        <v>37</v>
      </c>
      <c r="D82" s="49" t="s">
        <v>38</v>
      </c>
      <c r="E82" s="112">
        <f>55+12</f>
        <v>67</v>
      </c>
      <c r="F82" s="117">
        <v>46288</v>
      </c>
      <c r="G82" s="51" t="e">
        <f>VLOOKUP(C82,#REF!,12,0)</f>
        <v>#REF!</v>
      </c>
      <c r="H82" s="73"/>
      <c r="I82" s="74"/>
      <c r="J82" s="74"/>
      <c r="K82" s="74"/>
      <c r="L82" s="74"/>
      <c r="M82" s="74"/>
      <c r="N82" s="74"/>
      <c r="O82" s="74"/>
      <c r="P82" s="74"/>
      <c r="Q82" s="74"/>
      <c r="R82" s="73"/>
      <c r="S82" s="78"/>
      <c r="T82" s="54"/>
      <c r="U82" s="54" t="s">
        <v>375</v>
      </c>
      <c r="V82" s="54"/>
      <c r="W82" s="55" t="s">
        <v>235</v>
      </c>
      <c r="X82" s="73"/>
      <c r="Y82" s="73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2">
        <f t="shared" si="5"/>
        <v>0</v>
      </c>
      <c r="BD82" s="71" t="str">
        <f t="shared" si="6"/>
        <v>Lacking</v>
      </c>
      <c r="BE82" s="73">
        <f t="shared" si="7"/>
        <v>67</v>
      </c>
      <c r="BF82" s="74" t="e">
        <f t="shared" si="8"/>
        <v>#REF!</v>
      </c>
    </row>
    <row r="83" spans="1:58" s="63" customFormat="1" ht="16.5" customHeight="1" x14ac:dyDescent="0.25">
      <c r="A83" s="9" t="s">
        <v>260</v>
      </c>
      <c r="B83" s="48">
        <v>8217</v>
      </c>
      <c r="C83" s="49" t="s">
        <v>376</v>
      </c>
      <c r="D83" s="49" t="s">
        <v>377</v>
      </c>
      <c r="E83" s="112">
        <f>45+28</f>
        <v>73</v>
      </c>
      <c r="F83" s="117">
        <v>46288</v>
      </c>
      <c r="G83" s="51" t="e">
        <f>VLOOKUP(C83,#REF!,12,0)</f>
        <v>#REF!</v>
      </c>
      <c r="H83" s="73"/>
      <c r="I83" s="74"/>
      <c r="J83" s="74"/>
      <c r="K83" s="74"/>
      <c r="L83" s="74"/>
      <c r="M83" s="74"/>
      <c r="N83" s="74"/>
      <c r="O83" s="74"/>
      <c r="P83" s="74"/>
      <c r="Q83" s="74"/>
      <c r="R83" s="73"/>
      <c r="S83" s="78"/>
      <c r="T83" s="80"/>
      <c r="U83" s="54" t="s">
        <v>378</v>
      </c>
      <c r="V83" s="80"/>
      <c r="W83" s="55" t="s">
        <v>236</v>
      </c>
      <c r="X83" s="73"/>
      <c r="Y83" s="73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2">
        <f t="shared" si="5"/>
        <v>0</v>
      </c>
      <c r="BD83" s="71" t="str">
        <f t="shared" si="6"/>
        <v>Lacking</v>
      </c>
      <c r="BE83" s="73">
        <f t="shared" si="7"/>
        <v>73</v>
      </c>
      <c r="BF83" s="74" t="e">
        <f t="shared" si="8"/>
        <v>#REF!</v>
      </c>
    </row>
    <row r="84" spans="1:58" s="63" customFormat="1" ht="16.5" customHeight="1" x14ac:dyDescent="0.25">
      <c r="A84" s="9" t="s">
        <v>260</v>
      </c>
      <c r="B84" s="48">
        <v>8217</v>
      </c>
      <c r="C84" s="49" t="s">
        <v>55</v>
      </c>
      <c r="D84" s="49" t="s">
        <v>56</v>
      </c>
      <c r="E84" s="112">
        <f>70+55</f>
        <v>125</v>
      </c>
      <c r="F84" s="117">
        <v>46288</v>
      </c>
      <c r="G84" s="51" t="e">
        <f>VLOOKUP(C84,#REF!,12,0)</f>
        <v>#REF!</v>
      </c>
      <c r="H84" s="73"/>
      <c r="I84" s="74"/>
      <c r="J84" s="74"/>
      <c r="K84" s="74"/>
      <c r="L84" s="74">
        <v>70</v>
      </c>
      <c r="M84" s="74"/>
      <c r="N84" s="74"/>
      <c r="O84" s="74"/>
      <c r="P84" s="74"/>
      <c r="Q84" s="74"/>
      <c r="R84" s="73"/>
      <c r="S84" s="78"/>
      <c r="T84" s="54"/>
      <c r="U84" s="54" t="s">
        <v>348</v>
      </c>
      <c r="V84" s="54"/>
      <c r="W84" s="55" t="s">
        <v>237</v>
      </c>
      <c r="X84" s="73"/>
      <c r="Y84" s="73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2">
        <f t="shared" si="5"/>
        <v>0</v>
      </c>
      <c r="BD84" s="71" t="str">
        <f t="shared" si="6"/>
        <v>Lacking</v>
      </c>
      <c r="BE84" s="73">
        <f t="shared" si="7"/>
        <v>125</v>
      </c>
      <c r="BF84" s="74" t="e">
        <f t="shared" si="8"/>
        <v>#REF!</v>
      </c>
    </row>
    <row r="85" spans="1:58" s="63" customFormat="1" ht="16.5" customHeight="1" x14ac:dyDescent="0.25">
      <c r="A85" s="9" t="s">
        <v>260</v>
      </c>
      <c r="B85" s="48">
        <v>8217</v>
      </c>
      <c r="C85" s="49" t="s">
        <v>67</v>
      </c>
      <c r="D85" s="49" t="s">
        <v>379</v>
      </c>
      <c r="E85" s="50">
        <v>140</v>
      </c>
      <c r="F85" s="117">
        <v>46288</v>
      </c>
      <c r="G85" s="51" t="e">
        <f>VLOOKUP(C85,#REF!,12,0)</f>
        <v>#REF!</v>
      </c>
      <c r="H85" s="73"/>
      <c r="I85" s="74"/>
      <c r="J85" s="74"/>
      <c r="K85" s="74"/>
      <c r="L85" s="74"/>
      <c r="M85" s="74"/>
      <c r="N85" s="74"/>
      <c r="O85" s="74"/>
      <c r="P85" s="74"/>
      <c r="Q85" s="74"/>
      <c r="R85" s="73"/>
      <c r="S85" s="78"/>
      <c r="T85" s="54"/>
      <c r="U85" s="54" t="s">
        <v>380</v>
      </c>
      <c r="V85" s="54"/>
      <c r="W85" s="55"/>
      <c r="X85" s="73"/>
      <c r="Y85" s="73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2">
        <f t="shared" si="5"/>
        <v>0</v>
      </c>
      <c r="BD85" s="71" t="str">
        <f t="shared" si="6"/>
        <v>Lacking</v>
      </c>
      <c r="BE85" s="73">
        <f t="shared" si="7"/>
        <v>140</v>
      </c>
      <c r="BF85" s="74" t="e">
        <f t="shared" si="8"/>
        <v>#REF!</v>
      </c>
    </row>
    <row r="86" spans="1:58" s="63" customFormat="1" ht="18" customHeight="1" x14ac:dyDescent="0.25">
      <c r="A86" s="9" t="s">
        <v>260</v>
      </c>
      <c r="B86" s="48">
        <v>8217</v>
      </c>
      <c r="C86" s="49" t="s">
        <v>51</v>
      </c>
      <c r="D86" s="49" t="s">
        <v>52</v>
      </c>
      <c r="E86" s="64">
        <f>145+59</f>
        <v>204</v>
      </c>
      <c r="F86" s="117">
        <v>46288</v>
      </c>
      <c r="G86" s="51" t="e">
        <f>VLOOKUP(C86,#REF!,12,0)</f>
        <v>#REF!</v>
      </c>
      <c r="H86" s="73">
        <v>145</v>
      </c>
      <c r="I86" s="74"/>
      <c r="J86" s="74"/>
      <c r="K86" s="74"/>
      <c r="L86" s="74"/>
      <c r="M86" s="74"/>
      <c r="N86" s="74"/>
      <c r="O86" s="74"/>
      <c r="P86" s="74"/>
      <c r="Q86" s="74"/>
      <c r="R86" s="73"/>
      <c r="S86" s="78"/>
      <c r="T86" s="54"/>
      <c r="U86" s="54" t="s">
        <v>381</v>
      </c>
      <c r="V86" s="54"/>
      <c r="W86" s="55" t="s">
        <v>238</v>
      </c>
      <c r="X86" s="73"/>
      <c r="Y86" s="73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2">
        <f t="shared" si="5"/>
        <v>0</v>
      </c>
      <c r="BD86" s="71" t="str">
        <f t="shared" si="6"/>
        <v>Lacking</v>
      </c>
      <c r="BE86" s="73">
        <f t="shared" si="7"/>
        <v>204</v>
      </c>
      <c r="BF86" s="74" t="e">
        <f t="shared" si="8"/>
        <v>#REF!</v>
      </c>
    </row>
    <row r="87" spans="1:58" s="63" customFormat="1" ht="16.5" customHeight="1" x14ac:dyDescent="0.25">
      <c r="A87" s="9" t="s">
        <v>260</v>
      </c>
      <c r="B87" s="48">
        <v>8217</v>
      </c>
      <c r="C87" s="81" t="s">
        <v>382</v>
      </c>
      <c r="D87" s="49" t="s">
        <v>383</v>
      </c>
      <c r="E87" s="113">
        <f>35+23</f>
        <v>58</v>
      </c>
      <c r="F87" s="117">
        <v>46288</v>
      </c>
      <c r="G87" s="51" t="e">
        <f>VLOOKUP(C87,#REF!,12,0)</f>
        <v>#REF!</v>
      </c>
      <c r="H87" s="73">
        <v>35</v>
      </c>
      <c r="I87" s="74"/>
      <c r="J87" s="74"/>
      <c r="K87" s="74"/>
      <c r="L87" s="74"/>
      <c r="M87" s="74"/>
      <c r="N87" s="74"/>
      <c r="O87" s="74"/>
      <c r="P87" s="74"/>
      <c r="Q87" s="74"/>
      <c r="R87" s="73"/>
      <c r="S87" s="78" t="s">
        <v>290</v>
      </c>
      <c r="T87" s="82"/>
      <c r="U87" s="54" t="s">
        <v>384</v>
      </c>
      <c r="V87" s="82"/>
      <c r="W87" s="55" t="s">
        <v>239</v>
      </c>
      <c r="X87" s="73"/>
      <c r="Y87" s="73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2">
        <f t="shared" si="5"/>
        <v>0</v>
      </c>
      <c r="BD87" s="71" t="str">
        <f t="shared" si="6"/>
        <v>Lacking</v>
      </c>
      <c r="BE87" s="73">
        <f t="shared" si="7"/>
        <v>58</v>
      </c>
      <c r="BF87" s="74" t="e">
        <f t="shared" si="8"/>
        <v>#REF!</v>
      </c>
    </row>
    <row r="88" spans="1:58" s="63" customFormat="1" ht="16.5" customHeight="1" x14ac:dyDescent="0.25">
      <c r="A88" s="9" t="s">
        <v>260</v>
      </c>
      <c r="B88" s="48">
        <v>8217</v>
      </c>
      <c r="C88" s="49" t="s">
        <v>11</v>
      </c>
      <c r="D88" s="49" t="s">
        <v>12</v>
      </c>
      <c r="E88" s="112">
        <f>50+42</f>
        <v>92</v>
      </c>
      <c r="F88" s="117">
        <v>46288</v>
      </c>
      <c r="G88" s="51" t="e">
        <f>VLOOKUP(C88,#REF!,12,0)</f>
        <v>#REF!</v>
      </c>
      <c r="H88" s="73"/>
      <c r="I88" s="74"/>
      <c r="J88" s="74"/>
      <c r="K88" s="74">
        <v>50</v>
      </c>
      <c r="L88" s="74"/>
      <c r="M88" s="74"/>
      <c r="N88" s="74"/>
      <c r="O88" s="74"/>
      <c r="P88" s="74"/>
      <c r="Q88" s="74"/>
      <c r="R88" s="73"/>
      <c r="S88" s="78"/>
      <c r="T88" s="82"/>
      <c r="U88" s="82" t="s">
        <v>385</v>
      </c>
      <c r="V88" s="82"/>
      <c r="W88" s="55" t="s">
        <v>240</v>
      </c>
      <c r="X88" s="73"/>
      <c r="Y88" s="73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2">
        <f t="shared" si="5"/>
        <v>0</v>
      </c>
      <c r="BD88" s="71" t="str">
        <f t="shared" si="6"/>
        <v>Lacking</v>
      </c>
      <c r="BE88" s="73">
        <f t="shared" si="7"/>
        <v>92</v>
      </c>
      <c r="BF88" s="74" t="e">
        <f t="shared" si="8"/>
        <v>#REF!</v>
      </c>
    </row>
    <row r="89" spans="1:58" s="63" customFormat="1" ht="16.5" customHeight="1" x14ac:dyDescent="0.25">
      <c r="A89" s="9" t="s">
        <v>260</v>
      </c>
      <c r="B89" s="48">
        <v>8217</v>
      </c>
      <c r="C89" s="49" t="s">
        <v>137</v>
      </c>
      <c r="D89" s="49" t="s">
        <v>138</v>
      </c>
      <c r="E89" s="112">
        <f>80+28</f>
        <v>108</v>
      </c>
      <c r="F89" s="117">
        <v>46288</v>
      </c>
      <c r="G89" s="51" t="e">
        <f>VLOOKUP(C89,#REF!,12,0)</f>
        <v>#REF!</v>
      </c>
      <c r="H89" s="73">
        <v>80</v>
      </c>
      <c r="I89" s="74"/>
      <c r="J89" s="74"/>
      <c r="K89" s="74"/>
      <c r="L89" s="74"/>
      <c r="M89" s="74"/>
      <c r="N89" s="74"/>
      <c r="O89" s="74"/>
      <c r="P89" s="74"/>
      <c r="Q89" s="74"/>
      <c r="R89" s="73"/>
      <c r="S89" s="78"/>
      <c r="T89" s="82"/>
      <c r="U89" s="82" t="s">
        <v>386</v>
      </c>
      <c r="V89" s="82"/>
      <c r="W89" s="55" t="s">
        <v>241</v>
      </c>
      <c r="X89" s="73"/>
      <c r="Y89" s="73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2">
        <f t="shared" si="5"/>
        <v>0</v>
      </c>
      <c r="BD89" s="71" t="str">
        <f t="shared" si="6"/>
        <v>Lacking</v>
      </c>
      <c r="BE89" s="73">
        <f t="shared" si="7"/>
        <v>108</v>
      </c>
      <c r="BF89" s="74" t="e">
        <f t="shared" si="8"/>
        <v>#REF!</v>
      </c>
    </row>
    <row r="90" spans="1:58" s="63" customFormat="1" ht="16.5" customHeight="1" x14ac:dyDescent="0.25">
      <c r="A90" s="9" t="s">
        <v>260</v>
      </c>
      <c r="B90" s="48">
        <v>8217</v>
      </c>
      <c r="C90" s="49" t="s">
        <v>387</v>
      </c>
      <c r="D90" s="49" t="s">
        <v>388</v>
      </c>
      <c r="E90" s="64">
        <v>105</v>
      </c>
      <c r="F90" s="117">
        <v>46288</v>
      </c>
      <c r="G90" s="51" t="e">
        <f>VLOOKUP(C90,#REF!,12,0)</f>
        <v>#REF!</v>
      </c>
      <c r="H90" s="73"/>
      <c r="I90" s="74"/>
      <c r="J90" s="74"/>
      <c r="K90" s="74"/>
      <c r="L90" s="74"/>
      <c r="M90" s="74"/>
      <c r="N90" s="74"/>
      <c r="O90" s="74"/>
      <c r="P90" s="74"/>
      <c r="Q90" s="74">
        <v>105</v>
      </c>
      <c r="R90" s="73"/>
      <c r="S90" s="78" t="s">
        <v>290</v>
      </c>
      <c r="T90" s="54"/>
      <c r="U90" s="54" t="s">
        <v>389</v>
      </c>
      <c r="V90" s="54"/>
      <c r="W90" s="55"/>
      <c r="X90" s="73"/>
      <c r="Y90" s="73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2">
        <f t="shared" si="5"/>
        <v>0</v>
      </c>
      <c r="BD90" s="71" t="str">
        <f t="shared" si="6"/>
        <v>Lacking</v>
      </c>
      <c r="BE90" s="73">
        <f t="shared" si="7"/>
        <v>105</v>
      </c>
      <c r="BF90" s="74" t="e">
        <f t="shared" si="8"/>
        <v>#REF!</v>
      </c>
    </row>
    <row r="91" spans="1:58" s="63" customFormat="1" ht="16.5" customHeight="1" x14ac:dyDescent="0.25">
      <c r="A91" s="9" t="s">
        <v>260</v>
      </c>
      <c r="B91" s="48">
        <v>8217</v>
      </c>
      <c r="C91" s="49" t="s">
        <v>197</v>
      </c>
      <c r="D91" s="49" t="s">
        <v>198</v>
      </c>
      <c r="E91" s="112">
        <f>125+89</f>
        <v>214</v>
      </c>
      <c r="F91" s="117">
        <v>46288</v>
      </c>
      <c r="G91" s="51" t="e">
        <f>VLOOKUP(C91,#REF!,12,0)</f>
        <v>#REF!</v>
      </c>
      <c r="H91" s="73"/>
      <c r="I91" s="74"/>
      <c r="J91" s="74"/>
      <c r="K91" s="74"/>
      <c r="L91" s="74"/>
      <c r="M91" s="74"/>
      <c r="N91" s="74"/>
      <c r="O91" s="74"/>
      <c r="P91" s="74"/>
      <c r="Q91" s="74"/>
      <c r="R91" s="73"/>
      <c r="S91" s="78"/>
      <c r="T91" s="54"/>
      <c r="U91" s="54" t="s">
        <v>390</v>
      </c>
      <c r="V91" s="54"/>
      <c r="W91" s="55" t="s">
        <v>242</v>
      </c>
      <c r="X91" s="73"/>
      <c r="Y91" s="73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2">
        <f t="shared" si="5"/>
        <v>0</v>
      </c>
      <c r="BD91" s="71" t="str">
        <f t="shared" si="6"/>
        <v>Lacking</v>
      </c>
      <c r="BE91" s="73">
        <f t="shared" si="7"/>
        <v>214</v>
      </c>
      <c r="BF91" s="74" t="e">
        <f t="shared" si="8"/>
        <v>#REF!</v>
      </c>
    </row>
    <row r="92" spans="1:58" s="63" customFormat="1" ht="16.5" customHeight="1" x14ac:dyDescent="0.25">
      <c r="A92" s="9" t="s">
        <v>260</v>
      </c>
      <c r="B92" s="48">
        <v>8217</v>
      </c>
      <c r="C92" s="49" t="s">
        <v>391</v>
      </c>
      <c r="D92" s="49" t="s">
        <v>392</v>
      </c>
      <c r="E92" s="112">
        <f>8+135</f>
        <v>143</v>
      </c>
      <c r="F92" s="117">
        <v>46288</v>
      </c>
      <c r="G92" s="51" t="e">
        <f>VLOOKUP(C92,#REF!,12,0)</f>
        <v>#REF!</v>
      </c>
      <c r="H92" s="73"/>
      <c r="I92" s="74"/>
      <c r="J92" s="74"/>
      <c r="K92" s="74"/>
      <c r="L92" s="74"/>
      <c r="M92" s="74">
        <v>135</v>
      </c>
      <c r="N92" s="74"/>
      <c r="O92" s="74"/>
      <c r="P92" s="74"/>
      <c r="Q92" s="74"/>
      <c r="R92" s="73"/>
      <c r="S92" s="78"/>
      <c r="T92" s="54"/>
      <c r="U92" s="54" t="s">
        <v>393</v>
      </c>
      <c r="V92" s="54"/>
      <c r="W92" s="55" t="s">
        <v>243</v>
      </c>
      <c r="X92" s="73"/>
      <c r="Y92" s="73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2">
        <f t="shared" si="5"/>
        <v>0</v>
      </c>
      <c r="BD92" s="71" t="str">
        <f t="shared" si="6"/>
        <v>Lacking</v>
      </c>
      <c r="BE92" s="73">
        <f t="shared" si="7"/>
        <v>143</v>
      </c>
      <c r="BF92" s="74" t="e">
        <f t="shared" si="8"/>
        <v>#REF!</v>
      </c>
    </row>
    <row r="93" spans="1:58" s="63" customFormat="1" ht="16.5" customHeight="1" x14ac:dyDescent="0.25">
      <c r="A93" s="9" t="s">
        <v>260</v>
      </c>
      <c r="B93" s="48">
        <v>8217</v>
      </c>
      <c r="C93" s="49" t="s">
        <v>175</v>
      </c>
      <c r="D93" s="49" t="s">
        <v>176</v>
      </c>
      <c r="E93" s="114">
        <f>2+55</f>
        <v>57</v>
      </c>
      <c r="F93" s="117">
        <v>46288</v>
      </c>
      <c r="G93" s="51" t="e">
        <f>VLOOKUP(C93,#REF!,12,0)</f>
        <v>#REF!</v>
      </c>
      <c r="H93" s="73"/>
      <c r="I93" s="74"/>
      <c r="J93" s="74"/>
      <c r="K93" s="74"/>
      <c r="L93" s="74"/>
      <c r="M93" s="74"/>
      <c r="N93" s="74"/>
      <c r="O93" s="74"/>
      <c r="P93" s="74"/>
      <c r="Q93" s="74"/>
      <c r="R93" s="73"/>
      <c r="S93" s="78" t="s">
        <v>290</v>
      </c>
      <c r="T93" s="54"/>
      <c r="U93" s="82" t="s">
        <v>386</v>
      </c>
      <c r="V93" s="54"/>
      <c r="W93" s="55" t="s">
        <v>244</v>
      </c>
      <c r="X93" s="73"/>
      <c r="Y93" s="73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2">
        <f t="shared" si="5"/>
        <v>0</v>
      </c>
      <c r="BD93" s="71" t="str">
        <f t="shared" si="6"/>
        <v>Lacking</v>
      </c>
      <c r="BE93" s="73">
        <f t="shared" si="7"/>
        <v>57</v>
      </c>
      <c r="BF93" s="74" t="e">
        <f t="shared" si="8"/>
        <v>#REF!</v>
      </c>
    </row>
    <row r="94" spans="1:58" s="63" customFormat="1" ht="16.5" customHeight="1" x14ac:dyDescent="0.25">
      <c r="A94" s="9" t="s">
        <v>260</v>
      </c>
      <c r="B94" s="48">
        <v>8217</v>
      </c>
      <c r="C94" s="49" t="s">
        <v>394</v>
      </c>
      <c r="D94" s="49" t="s">
        <v>395</v>
      </c>
      <c r="E94" s="50">
        <v>5</v>
      </c>
      <c r="F94" s="117">
        <v>46288</v>
      </c>
      <c r="G94" s="51" t="e">
        <f>VLOOKUP(C94,#REF!,12,0)</f>
        <v>#REF!</v>
      </c>
      <c r="H94" s="73"/>
      <c r="I94" s="74"/>
      <c r="J94" s="74"/>
      <c r="K94" s="74"/>
      <c r="L94" s="74"/>
      <c r="M94" s="74"/>
      <c r="N94" s="74"/>
      <c r="O94" s="74"/>
      <c r="P94" s="74"/>
      <c r="Q94" s="83"/>
      <c r="R94" s="84"/>
      <c r="S94" s="85"/>
      <c r="T94" s="82"/>
      <c r="U94" s="54" t="s">
        <v>396</v>
      </c>
      <c r="V94" s="82"/>
      <c r="W94" s="55"/>
      <c r="X94" s="73"/>
      <c r="Y94" s="73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2">
        <f t="shared" si="5"/>
        <v>0</v>
      </c>
      <c r="BD94" s="71" t="str">
        <f t="shared" si="6"/>
        <v>Lacking</v>
      </c>
      <c r="BE94" s="73">
        <f t="shared" si="7"/>
        <v>5</v>
      </c>
      <c r="BF94" s="74" t="e">
        <f t="shared" si="8"/>
        <v>#REF!</v>
      </c>
    </row>
    <row r="95" spans="1:58" s="63" customFormat="1" ht="16.5" customHeight="1" x14ac:dyDescent="0.25">
      <c r="A95" s="9" t="s">
        <v>260</v>
      </c>
      <c r="B95" s="48">
        <v>8217</v>
      </c>
      <c r="C95" s="49" t="s">
        <v>397</v>
      </c>
      <c r="D95" s="49" t="s">
        <v>398</v>
      </c>
      <c r="E95" s="50">
        <v>5</v>
      </c>
      <c r="F95" s="117">
        <v>46288</v>
      </c>
      <c r="G95" s="51" t="e">
        <f>VLOOKUP(C95,#REF!,12,0)</f>
        <v>#REF!</v>
      </c>
      <c r="H95" s="73"/>
      <c r="I95" s="74"/>
      <c r="J95" s="74"/>
      <c r="K95" s="74"/>
      <c r="L95" s="74"/>
      <c r="M95" s="74"/>
      <c r="N95" s="74"/>
      <c r="O95" s="74"/>
      <c r="P95" s="74"/>
      <c r="Q95" s="74"/>
      <c r="R95" s="70"/>
      <c r="S95" s="53"/>
      <c r="T95" s="54"/>
      <c r="U95" s="54" t="s">
        <v>390</v>
      </c>
      <c r="V95" s="54"/>
      <c r="W95" s="55"/>
      <c r="X95" s="73"/>
      <c r="Y95" s="73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2">
        <f t="shared" si="5"/>
        <v>0</v>
      </c>
      <c r="BD95" s="71" t="str">
        <f t="shared" si="6"/>
        <v>Lacking</v>
      </c>
      <c r="BE95" s="73">
        <f t="shared" si="7"/>
        <v>5</v>
      </c>
      <c r="BF95" s="74" t="e">
        <f t="shared" si="8"/>
        <v>#REF!</v>
      </c>
    </row>
    <row r="96" spans="1:58" s="63" customFormat="1" ht="18" customHeight="1" x14ac:dyDescent="0.25">
      <c r="A96" s="9" t="s">
        <v>260</v>
      </c>
      <c r="B96" s="48">
        <v>8217</v>
      </c>
      <c r="C96" s="49" t="s">
        <v>193</v>
      </c>
      <c r="D96" s="49" t="s">
        <v>194</v>
      </c>
      <c r="E96" s="114">
        <f>30+5</f>
        <v>35</v>
      </c>
      <c r="F96" s="117">
        <v>46288</v>
      </c>
      <c r="G96" s="51" t="e">
        <f>VLOOKUP(C96,#REF!,12,0)</f>
        <v>#REF!</v>
      </c>
      <c r="H96" s="73"/>
      <c r="I96" s="74"/>
      <c r="J96" s="74"/>
      <c r="K96" s="74"/>
      <c r="L96" s="74"/>
      <c r="M96" s="74"/>
      <c r="N96" s="74"/>
      <c r="O96" s="74"/>
      <c r="P96" s="74"/>
      <c r="Q96" s="74">
        <v>30</v>
      </c>
      <c r="R96" s="70"/>
      <c r="S96" s="53" t="s">
        <v>290</v>
      </c>
      <c r="T96" s="82"/>
      <c r="U96" s="54" t="s">
        <v>399</v>
      </c>
      <c r="V96" s="82"/>
      <c r="W96" s="55" t="s">
        <v>245</v>
      </c>
      <c r="X96" s="73"/>
      <c r="Y96" s="73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2">
        <f t="shared" si="5"/>
        <v>0</v>
      </c>
      <c r="BD96" s="71" t="str">
        <f t="shared" si="6"/>
        <v>Lacking</v>
      </c>
      <c r="BE96" s="73">
        <f t="shared" si="7"/>
        <v>35</v>
      </c>
      <c r="BF96" s="74" t="e">
        <f t="shared" si="8"/>
        <v>#REF!</v>
      </c>
    </row>
    <row r="97" spans="1:58" s="63" customFormat="1" ht="15.75" customHeight="1" x14ac:dyDescent="0.25">
      <c r="A97" s="9" t="s">
        <v>260</v>
      </c>
      <c r="B97" s="48">
        <v>8217</v>
      </c>
      <c r="C97" s="49" t="s">
        <v>400</v>
      </c>
      <c r="D97" s="49" t="s">
        <v>401</v>
      </c>
      <c r="E97" s="112">
        <f>5+35</f>
        <v>40</v>
      </c>
      <c r="F97" s="117">
        <v>46288</v>
      </c>
      <c r="G97" s="51" t="e">
        <f>VLOOKUP(C97,#REF!,12,0)</f>
        <v>#REF!</v>
      </c>
      <c r="H97" s="73">
        <v>35</v>
      </c>
      <c r="I97" s="74"/>
      <c r="J97" s="74"/>
      <c r="K97" s="74"/>
      <c r="L97" s="74"/>
      <c r="M97" s="74"/>
      <c r="N97" s="74"/>
      <c r="O97" s="74"/>
      <c r="P97" s="74"/>
      <c r="Q97" s="74"/>
      <c r="R97" s="70"/>
      <c r="S97" s="53"/>
      <c r="T97" s="86"/>
      <c r="U97" s="54" t="s">
        <v>390</v>
      </c>
      <c r="V97" s="86"/>
      <c r="W97" s="55" t="s">
        <v>246</v>
      </c>
      <c r="X97" s="73"/>
      <c r="Y97" s="73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2">
        <f t="shared" si="5"/>
        <v>0</v>
      </c>
      <c r="BD97" s="71" t="str">
        <f t="shared" si="6"/>
        <v>Lacking</v>
      </c>
      <c r="BE97" s="73">
        <f t="shared" si="7"/>
        <v>40</v>
      </c>
      <c r="BF97" s="74" t="e">
        <f t="shared" si="8"/>
        <v>#REF!</v>
      </c>
    </row>
    <row r="98" spans="1:58" s="63" customFormat="1" ht="16.5" customHeight="1" x14ac:dyDescent="0.25">
      <c r="A98" s="9" t="s">
        <v>260</v>
      </c>
      <c r="B98" s="48">
        <v>8217</v>
      </c>
      <c r="C98" s="49" t="s">
        <v>135</v>
      </c>
      <c r="D98" s="49" t="s">
        <v>136</v>
      </c>
      <c r="E98" s="112">
        <f>3+15</f>
        <v>18</v>
      </c>
      <c r="F98" s="117">
        <v>46288</v>
      </c>
      <c r="G98" s="51" t="e">
        <f>VLOOKUP(C98,#REF!,12,0)</f>
        <v>#REF!</v>
      </c>
      <c r="H98" s="73"/>
      <c r="I98" s="74"/>
      <c r="J98" s="74"/>
      <c r="K98" s="74"/>
      <c r="L98" s="74"/>
      <c r="M98" s="74"/>
      <c r="N98" s="74"/>
      <c r="O98" s="74"/>
      <c r="P98" s="74"/>
      <c r="Q98" s="74"/>
      <c r="R98" s="70"/>
      <c r="S98" s="53"/>
      <c r="T98" s="54"/>
      <c r="U98" s="54" t="s">
        <v>390</v>
      </c>
      <c r="V98" s="54"/>
      <c r="W98" s="55" t="s">
        <v>247</v>
      </c>
      <c r="X98" s="73"/>
      <c r="Y98" s="73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2">
        <f t="shared" si="5"/>
        <v>0</v>
      </c>
      <c r="BD98" s="71" t="str">
        <f t="shared" si="6"/>
        <v>Lacking</v>
      </c>
      <c r="BE98" s="73">
        <f t="shared" si="7"/>
        <v>18</v>
      </c>
      <c r="BF98" s="74" t="e">
        <f t="shared" si="8"/>
        <v>#REF!</v>
      </c>
    </row>
    <row r="99" spans="1:58" s="63" customFormat="1" ht="16.5" customHeight="1" x14ac:dyDescent="0.25">
      <c r="A99" s="9" t="s">
        <v>260</v>
      </c>
      <c r="B99" s="48">
        <v>8217</v>
      </c>
      <c r="C99" s="49" t="s">
        <v>402</v>
      </c>
      <c r="D99" s="49" t="s">
        <v>403</v>
      </c>
      <c r="E99" s="50">
        <v>10</v>
      </c>
      <c r="F99" s="117">
        <v>46288</v>
      </c>
      <c r="G99" s="51" t="e">
        <f>VLOOKUP(C99,#REF!,12,0)</f>
        <v>#REF!</v>
      </c>
      <c r="H99" s="73"/>
      <c r="I99" s="74"/>
      <c r="J99" s="74">
        <v>10</v>
      </c>
      <c r="K99" s="74"/>
      <c r="L99" s="74"/>
      <c r="M99" s="74"/>
      <c r="N99" s="74"/>
      <c r="O99" s="74"/>
      <c r="P99" s="74"/>
      <c r="Q99" s="74"/>
      <c r="R99" s="70"/>
      <c r="S99" s="53"/>
      <c r="T99" s="54"/>
      <c r="U99" s="54" t="s">
        <v>390</v>
      </c>
      <c r="V99" s="54" t="s">
        <v>404</v>
      </c>
      <c r="W99" s="55"/>
      <c r="X99" s="73"/>
      <c r="Y99" s="73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2">
        <f t="shared" si="5"/>
        <v>0</v>
      </c>
      <c r="BD99" s="71" t="str">
        <f t="shared" si="6"/>
        <v>Lacking</v>
      </c>
      <c r="BE99" s="73">
        <f t="shared" si="7"/>
        <v>10</v>
      </c>
      <c r="BF99" s="74" t="e">
        <f t="shared" si="8"/>
        <v>#REF!</v>
      </c>
    </row>
    <row r="100" spans="1:58" s="63" customFormat="1" ht="16.5" customHeight="1" x14ac:dyDescent="0.25">
      <c r="A100" s="9" t="s">
        <v>260</v>
      </c>
      <c r="B100" s="48">
        <v>8217</v>
      </c>
      <c r="C100" s="49" t="s">
        <v>35</v>
      </c>
      <c r="D100" s="49" t="s">
        <v>405</v>
      </c>
      <c r="E100" s="112">
        <f>5+10</f>
        <v>15</v>
      </c>
      <c r="F100" s="117">
        <v>46288</v>
      </c>
      <c r="G100" s="51" t="e">
        <f>VLOOKUP(C100,#REF!,12,0)</f>
        <v>#REF!</v>
      </c>
      <c r="H100" s="73"/>
      <c r="I100" s="74"/>
      <c r="J100" s="74"/>
      <c r="K100" s="74"/>
      <c r="L100" s="74"/>
      <c r="M100" s="74"/>
      <c r="N100" s="74"/>
      <c r="O100" s="74"/>
      <c r="P100" s="74"/>
      <c r="Q100" s="74">
        <v>10</v>
      </c>
      <c r="R100" s="73"/>
      <c r="S100" s="78"/>
      <c r="T100" s="54"/>
      <c r="U100" s="54" t="s">
        <v>399</v>
      </c>
      <c r="V100" s="54"/>
      <c r="W100" s="55" t="s">
        <v>248</v>
      </c>
      <c r="X100" s="73"/>
      <c r="Y100" s="73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2">
        <f t="shared" si="5"/>
        <v>0</v>
      </c>
      <c r="BD100" s="71" t="str">
        <f t="shared" si="6"/>
        <v>Lacking</v>
      </c>
      <c r="BE100" s="73">
        <f t="shared" si="7"/>
        <v>15</v>
      </c>
      <c r="BF100" s="74" t="e">
        <f t="shared" si="8"/>
        <v>#REF!</v>
      </c>
    </row>
    <row r="101" spans="1:58" s="63" customFormat="1" ht="16.5" customHeight="1" x14ac:dyDescent="0.25">
      <c r="A101" s="9" t="s">
        <v>260</v>
      </c>
      <c r="B101" s="48">
        <v>8217</v>
      </c>
      <c r="C101" s="49" t="s">
        <v>207</v>
      </c>
      <c r="D101" s="49" t="s">
        <v>208</v>
      </c>
      <c r="E101" s="112">
        <f>10+2</f>
        <v>12</v>
      </c>
      <c r="F101" s="117">
        <v>46288</v>
      </c>
      <c r="G101" s="51" t="e">
        <f>VLOOKUP(C101,#REF!,12,0)</f>
        <v>#REF!</v>
      </c>
      <c r="H101" s="73"/>
      <c r="I101" s="74"/>
      <c r="J101" s="74"/>
      <c r="K101" s="74"/>
      <c r="L101" s="74"/>
      <c r="M101" s="74"/>
      <c r="N101" s="74"/>
      <c r="O101" s="74"/>
      <c r="P101" s="74"/>
      <c r="Q101" s="74"/>
      <c r="R101" s="73"/>
      <c r="S101" s="78"/>
      <c r="T101" s="54"/>
      <c r="U101" s="54" t="s">
        <v>389</v>
      </c>
      <c r="V101" s="54"/>
      <c r="W101" s="55" t="s">
        <v>249</v>
      </c>
      <c r="X101" s="73"/>
      <c r="Y101" s="73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2">
        <f t="shared" si="5"/>
        <v>0</v>
      </c>
      <c r="BD101" s="71" t="str">
        <f t="shared" si="6"/>
        <v>Lacking</v>
      </c>
      <c r="BE101" s="73">
        <f t="shared" si="7"/>
        <v>12</v>
      </c>
      <c r="BF101" s="74" t="e">
        <f t="shared" si="8"/>
        <v>#REF!</v>
      </c>
    </row>
    <row r="102" spans="1:58" s="63" customFormat="1" ht="21" customHeight="1" x14ac:dyDescent="0.25">
      <c r="A102" s="9" t="s">
        <v>260</v>
      </c>
      <c r="B102" s="48">
        <v>8217</v>
      </c>
      <c r="C102" s="49" t="s">
        <v>406</v>
      </c>
      <c r="D102" s="49" t="s">
        <v>407</v>
      </c>
      <c r="E102" s="64">
        <f>3+15</f>
        <v>18</v>
      </c>
      <c r="F102" s="117">
        <v>46288</v>
      </c>
      <c r="G102" s="51" t="e">
        <f>VLOOKUP(C102,#REF!,12,0)</f>
        <v>#REF!</v>
      </c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3"/>
      <c r="S102" s="78" t="s">
        <v>290</v>
      </c>
      <c r="T102" s="54"/>
      <c r="U102" s="54" t="s">
        <v>389</v>
      </c>
      <c r="V102" s="54"/>
      <c r="W102" s="55" t="s">
        <v>250</v>
      </c>
      <c r="X102" s="73"/>
      <c r="Y102" s="73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2">
        <f t="shared" si="5"/>
        <v>0</v>
      </c>
      <c r="BD102" s="71" t="str">
        <f t="shared" si="6"/>
        <v>Lacking</v>
      </c>
      <c r="BE102" s="73">
        <f t="shared" si="7"/>
        <v>18</v>
      </c>
      <c r="BF102" s="74" t="e">
        <f t="shared" si="8"/>
        <v>#REF!</v>
      </c>
    </row>
    <row r="103" spans="1:58" s="63" customFormat="1" ht="16.5" customHeight="1" x14ac:dyDescent="0.25">
      <c r="A103" s="9" t="s">
        <v>260</v>
      </c>
      <c r="B103" s="48">
        <v>8217</v>
      </c>
      <c r="C103" s="49" t="s">
        <v>408</v>
      </c>
      <c r="D103" s="49" t="s">
        <v>409</v>
      </c>
      <c r="E103" s="112">
        <f>47+40</f>
        <v>87</v>
      </c>
      <c r="F103" s="117">
        <v>46288</v>
      </c>
      <c r="G103" s="51" t="e">
        <f>VLOOKUP(C103,#REF!,12,0)</f>
        <v>#REF!</v>
      </c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3"/>
      <c r="S103" s="78"/>
      <c r="T103" s="54"/>
      <c r="U103" s="54" t="s">
        <v>399</v>
      </c>
      <c r="V103" s="54"/>
      <c r="W103" s="55" t="s">
        <v>251</v>
      </c>
      <c r="X103" s="73"/>
      <c r="Y103" s="73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2">
        <f t="shared" si="5"/>
        <v>0</v>
      </c>
      <c r="BD103" s="71" t="str">
        <f t="shared" si="6"/>
        <v>Lacking</v>
      </c>
      <c r="BE103" s="73">
        <f t="shared" si="7"/>
        <v>87</v>
      </c>
      <c r="BF103" s="74" t="e">
        <f t="shared" si="8"/>
        <v>#REF!</v>
      </c>
    </row>
    <row r="104" spans="1:58" s="63" customFormat="1" ht="16.5" customHeight="1" x14ac:dyDescent="0.25">
      <c r="A104" s="9" t="s">
        <v>260</v>
      </c>
      <c r="B104" s="48">
        <v>8217</v>
      </c>
      <c r="C104" s="49" t="s">
        <v>410</v>
      </c>
      <c r="D104" s="49" t="s">
        <v>411</v>
      </c>
      <c r="E104" s="112">
        <f>15+10</f>
        <v>25</v>
      </c>
      <c r="F104" s="117">
        <v>46288</v>
      </c>
      <c r="G104" s="51" t="e">
        <f>VLOOKUP(C104,#REF!,12,0)</f>
        <v>#REF!</v>
      </c>
      <c r="H104" s="74"/>
      <c r="I104" s="74"/>
      <c r="J104" s="74"/>
      <c r="K104" s="74"/>
      <c r="L104" s="74"/>
      <c r="M104" s="74"/>
      <c r="N104" s="74"/>
      <c r="O104" s="74"/>
      <c r="P104" s="74"/>
      <c r="Q104" s="74">
        <v>10</v>
      </c>
      <c r="R104" s="73"/>
      <c r="S104" s="78"/>
      <c r="T104" s="54"/>
      <c r="U104" s="54" t="s">
        <v>389</v>
      </c>
      <c r="V104" s="54"/>
      <c r="W104" s="55" t="s">
        <v>252</v>
      </c>
      <c r="X104" s="73"/>
      <c r="Y104" s="73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2">
        <f t="shared" si="5"/>
        <v>0</v>
      </c>
      <c r="BD104" s="71" t="str">
        <f t="shared" si="6"/>
        <v>Lacking</v>
      </c>
      <c r="BE104" s="73">
        <f t="shared" si="7"/>
        <v>25</v>
      </c>
      <c r="BF104" s="74" t="e">
        <f t="shared" si="8"/>
        <v>#REF!</v>
      </c>
    </row>
    <row r="105" spans="1:58" s="63" customFormat="1" ht="15.75" customHeight="1" x14ac:dyDescent="0.25">
      <c r="A105" s="9" t="s">
        <v>260</v>
      </c>
      <c r="B105" s="48">
        <v>8217</v>
      </c>
      <c r="C105" s="49" t="s">
        <v>65</v>
      </c>
      <c r="D105" s="49" t="s">
        <v>412</v>
      </c>
      <c r="E105" s="50">
        <v>15</v>
      </c>
      <c r="F105" s="117">
        <v>46288</v>
      </c>
      <c r="G105" s="51" t="e">
        <f>VLOOKUP(C105,#REF!,12,0)</f>
        <v>#REF!</v>
      </c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3"/>
      <c r="S105" s="78"/>
      <c r="T105" s="54"/>
      <c r="U105" s="54"/>
      <c r="V105" s="54"/>
      <c r="W105" s="55"/>
      <c r="X105" s="73"/>
      <c r="Y105" s="73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2">
        <f t="shared" si="5"/>
        <v>0</v>
      </c>
      <c r="BD105" s="71" t="str">
        <f t="shared" si="6"/>
        <v>Lacking</v>
      </c>
      <c r="BE105" s="73">
        <f t="shared" si="7"/>
        <v>15</v>
      </c>
      <c r="BF105" s="74" t="e">
        <f t="shared" si="8"/>
        <v>#REF!</v>
      </c>
    </row>
    <row r="106" spans="1:58" s="63" customFormat="1" ht="16.5" customHeight="1" x14ac:dyDescent="0.25">
      <c r="A106" s="9" t="s">
        <v>260</v>
      </c>
      <c r="B106" s="48">
        <v>8217</v>
      </c>
      <c r="C106" s="49" t="s">
        <v>413</v>
      </c>
      <c r="D106" s="49" t="s">
        <v>414</v>
      </c>
      <c r="E106" s="112">
        <f>3+5</f>
        <v>8</v>
      </c>
      <c r="F106" s="117">
        <v>46288</v>
      </c>
      <c r="G106" s="51" t="e">
        <f>VLOOKUP(C106,#REF!,12,0)</f>
        <v>#REF!</v>
      </c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3"/>
      <c r="S106" s="78"/>
      <c r="T106" s="54"/>
      <c r="U106" s="54"/>
      <c r="V106" s="54"/>
      <c r="W106" s="55" t="s">
        <v>253</v>
      </c>
      <c r="X106" s="73"/>
      <c r="Y106" s="73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2">
        <f t="shared" si="5"/>
        <v>0</v>
      </c>
      <c r="BD106" s="71" t="str">
        <f t="shared" si="6"/>
        <v>Lacking</v>
      </c>
      <c r="BE106" s="73">
        <f t="shared" si="7"/>
        <v>8</v>
      </c>
      <c r="BF106" s="74" t="e">
        <f t="shared" si="8"/>
        <v>#REF!</v>
      </c>
    </row>
    <row r="107" spans="1:58" s="63" customFormat="1" ht="16.5" customHeight="1" x14ac:dyDescent="0.25">
      <c r="A107" s="9" t="s">
        <v>260</v>
      </c>
      <c r="B107" s="48">
        <v>8217</v>
      </c>
      <c r="C107" s="49" t="s">
        <v>415</v>
      </c>
      <c r="D107" s="49" t="s">
        <v>416</v>
      </c>
      <c r="E107" s="50">
        <v>5</v>
      </c>
      <c r="F107" s="117">
        <v>46288</v>
      </c>
      <c r="G107" s="51" t="e">
        <f>VLOOKUP(C107,#REF!,12,0)</f>
        <v>#REF!</v>
      </c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3"/>
      <c r="S107" s="78"/>
      <c r="T107" s="54"/>
      <c r="U107" s="54"/>
      <c r="V107" s="54"/>
      <c r="W107" s="55"/>
      <c r="X107" s="73"/>
      <c r="Y107" s="73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2">
        <f t="shared" si="5"/>
        <v>0</v>
      </c>
      <c r="BD107" s="71" t="str">
        <f t="shared" si="6"/>
        <v>Lacking</v>
      </c>
      <c r="BE107" s="73">
        <f t="shared" si="7"/>
        <v>5</v>
      </c>
      <c r="BF107" s="74" t="e">
        <f t="shared" si="8"/>
        <v>#REF!</v>
      </c>
    </row>
    <row r="108" spans="1:58" s="63" customFormat="1" ht="16.5" customHeight="1" x14ac:dyDescent="0.25">
      <c r="A108" s="9" t="s">
        <v>260</v>
      </c>
      <c r="B108" s="48">
        <v>8217</v>
      </c>
      <c r="C108" s="49" t="s">
        <v>417</v>
      </c>
      <c r="D108" s="49" t="s">
        <v>418</v>
      </c>
      <c r="E108" s="50">
        <v>15</v>
      </c>
      <c r="F108" s="117">
        <v>46288</v>
      </c>
      <c r="G108" s="51" t="e">
        <f>VLOOKUP(C108,#REF!,12,0)</f>
        <v>#REF!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3"/>
      <c r="S108" s="78"/>
      <c r="T108" s="54"/>
      <c r="U108" s="54"/>
      <c r="V108" s="54"/>
      <c r="W108" s="55"/>
      <c r="X108" s="73"/>
      <c r="Y108" s="73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2">
        <f t="shared" si="5"/>
        <v>0</v>
      </c>
      <c r="BD108" s="71" t="str">
        <f t="shared" si="6"/>
        <v>Lacking</v>
      </c>
      <c r="BE108" s="73">
        <f t="shared" si="7"/>
        <v>15</v>
      </c>
      <c r="BF108" s="74" t="e">
        <f t="shared" si="8"/>
        <v>#REF!</v>
      </c>
    </row>
    <row r="109" spans="1:58" s="63" customFormat="1" ht="16.5" customHeight="1" x14ac:dyDescent="0.25">
      <c r="A109" s="9" t="s">
        <v>260</v>
      </c>
      <c r="B109" s="48">
        <v>8217</v>
      </c>
      <c r="C109" s="49" t="s">
        <v>419</v>
      </c>
      <c r="D109" s="49" t="s">
        <v>420</v>
      </c>
      <c r="E109" s="112">
        <f>2+10</f>
        <v>12</v>
      </c>
      <c r="F109" s="117">
        <v>46288</v>
      </c>
      <c r="G109" s="51" t="e">
        <f>VLOOKUP(C109,#REF!,12,0)</f>
        <v>#REF!</v>
      </c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3"/>
      <c r="S109" s="78"/>
      <c r="T109" s="54"/>
      <c r="U109" s="54" t="s">
        <v>389</v>
      </c>
      <c r="V109" s="54"/>
      <c r="W109" s="55" t="s">
        <v>249</v>
      </c>
      <c r="X109" s="73"/>
      <c r="Y109" s="73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2">
        <f t="shared" si="5"/>
        <v>0</v>
      </c>
      <c r="BD109" s="71" t="str">
        <f t="shared" si="6"/>
        <v>Lacking</v>
      </c>
      <c r="BE109" s="73">
        <f t="shared" si="7"/>
        <v>12</v>
      </c>
      <c r="BF109" s="74" t="e">
        <f t="shared" si="8"/>
        <v>#REF!</v>
      </c>
    </row>
    <row r="110" spans="1:58" s="63" customFormat="1" ht="16.5" customHeight="1" x14ac:dyDescent="0.25">
      <c r="A110" s="9" t="s">
        <v>260</v>
      </c>
      <c r="B110" s="48">
        <v>8217</v>
      </c>
      <c r="C110" s="49" t="s">
        <v>181</v>
      </c>
      <c r="D110" s="49" t="s">
        <v>182</v>
      </c>
      <c r="E110" s="64">
        <v>5</v>
      </c>
      <c r="F110" s="117">
        <v>46288</v>
      </c>
      <c r="G110" s="51" t="e">
        <f>VLOOKUP(C110,#REF!,12,0)</f>
        <v>#REF!</v>
      </c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3"/>
      <c r="S110" s="78" t="s">
        <v>290</v>
      </c>
      <c r="T110" s="82"/>
      <c r="U110" s="82"/>
      <c r="V110" s="82"/>
      <c r="W110" s="55"/>
      <c r="X110" s="73"/>
      <c r="Y110" s="73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2">
        <f t="shared" si="5"/>
        <v>0</v>
      </c>
      <c r="BD110" s="71" t="str">
        <f t="shared" si="6"/>
        <v>Lacking</v>
      </c>
      <c r="BE110" s="73">
        <f t="shared" si="7"/>
        <v>5</v>
      </c>
      <c r="BF110" s="74" t="e">
        <f t="shared" si="8"/>
        <v>#REF!</v>
      </c>
    </row>
    <row r="111" spans="1:58" s="63" customFormat="1" ht="16.5" customHeight="1" x14ac:dyDescent="0.25">
      <c r="A111" s="9" t="s">
        <v>260</v>
      </c>
      <c r="B111" s="48">
        <v>8217</v>
      </c>
      <c r="C111" s="49" t="s">
        <v>421</v>
      </c>
      <c r="D111" s="49" t="s">
        <v>422</v>
      </c>
      <c r="E111" s="112">
        <f>15+5</f>
        <v>20</v>
      </c>
      <c r="F111" s="117">
        <v>46288</v>
      </c>
      <c r="G111" s="51" t="e">
        <f>VLOOKUP(C111,#REF!,12,0)</f>
        <v>#REF!</v>
      </c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3"/>
      <c r="S111" s="78"/>
      <c r="T111" s="54"/>
      <c r="U111" s="54"/>
      <c r="V111" s="54"/>
      <c r="W111" s="55" t="s">
        <v>254</v>
      </c>
      <c r="X111" s="73"/>
      <c r="Y111" s="73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2">
        <f t="shared" si="5"/>
        <v>0</v>
      </c>
      <c r="BD111" s="71" t="str">
        <f t="shared" si="6"/>
        <v>Lacking</v>
      </c>
      <c r="BE111" s="73">
        <f t="shared" si="7"/>
        <v>20</v>
      </c>
      <c r="BF111" s="74" t="e">
        <f t="shared" si="8"/>
        <v>#REF!</v>
      </c>
    </row>
    <row r="112" spans="1:58" s="63" customFormat="1" ht="16.5" customHeight="1" x14ac:dyDescent="0.25">
      <c r="A112" s="9" t="s">
        <v>260</v>
      </c>
      <c r="B112" s="48">
        <v>8217</v>
      </c>
      <c r="C112" s="49" t="s">
        <v>423</v>
      </c>
      <c r="D112" s="49" t="s">
        <v>424</v>
      </c>
      <c r="E112" s="50">
        <v>10</v>
      </c>
      <c r="F112" s="117">
        <v>46288</v>
      </c>
      <c r="G112" s="51" t="e">
        <f>VLOOKUP(C112,#REF!,12,0)</f>
        <v>#REF!</v>
      </c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3"/>
      <c r="S112" s="78"/>
      <c r="T112" s="54"/>
      <c r="U112" s="54"/>
      <c r="V112" s="54"/>
      <c r="W112" s="55"/>
      <c r="X112" s="73"/>
      <c r="Y112" s="73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2">
        <f t="shared" si="5"/>
        <v>0</v>
      </c>
      <c r="BD112" s="71" t="str">
        <f t="shared" si="6"/>
        <v>Lacking</v>
      </c>
      <c r="BE112" s="73">
        <f t="shared" si="7"/>
        <v>10</v>
      </c>
      <c r="BF112" s="74" t="e">
        <f t="shared" si="8"/>
        <v>#REF!</v>
      </c>
    </row>
    <row r="113" spans="1:58" s="63" customFormat="1" ht="16.5" customHeight="1" x14ac:dyDescent="0.25">
      <c r="A113" s="9" t="s">
        <v>260</v>
      </c>
      <c r="B113" s="48">
        <v>8217</v>
      </c>
      <c r="C113" s="49" t="s">
        <v>81</v>
      </c>
      <c r="D113" s="49" t="s">
        <v>82</v>
      </c>
      <c r="E113" s="50">
        <v>25</v>
      </c>
      <c r="F113" s="117">
        <v>46288</v>
      </c>
      <c r="G113" s="51" t="e">
        <f>VLOOKUP(C113,#REF!,12,0)</f>
        <v>#REF!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3"/>
      <c r="S113" s="78"/>
      <c r="T113" s="54"/>
      <c r="U113" s="54" t="s">
        <v>389</v>
      </c>
      <c r="V113" s="54"/>
      <c r="W113" s="55"/>
      <c r="X113" s="73"/>
      <c r="Y113" s="73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2">
        <f t="shared" si="5"/>
        <v>0</v>
      </c>
      <c r="BD113" s="71" t="str">
        <f t="shared" si="6"/>
        <v>Lacking</v>
      </c>
      <c r="BE113" s="73">
        <f t="shared" si="7"/>
        <v>25</v>
      </c>
      <c r="BF113" s="74" t="e">
        <f t="shared" si="8"/>
        <v>#REF!</v>
      </c>
    </row>
    <row r="114" spans="1:58" s="63" customFormat="1" ht="16.5" customHeight="1" x14ac:dyDescent="0.25">
      <c r="A114" s="9" t="s">
        <v>260</v>
      </c>
      <c r="B114" s="48">
        <v>8217</v>
      </c>
      <c r="C114" s="49" t="s">
        <v>425</v>
      </c>
      <c r="D114" s="49" t="s">
        <v>426</v>
      </c>
      <c r="E114" s="50">
        <v>100</v>
      </c>
      <c r="F114" s="117">
        <v>46288</v>
      </c>
      <c r="G114" s="51" t="e">
        <f>VLOOKUP(C114,#REF!,12,0)</f>
        <v>#REF!</v>
      </c>
      <c r="H114" s="74"/>
      <c r="I114" s="74"/>
      <c r="J114" s="74"/>
      <c r="K114" s="74">
        <v>100</v>
      </c>
      <c r="L114" s="74"/>
      <c r="M114" s="74"/>
      <c r="N114" s="74"/>
      <c r="O114" s="74"/>
      <c r="P114" s="74"/>
      <c r="Q114" s="74"/>
      <c r="R114" s="73"/>
      <c r="S114" s="78"/>
      <c r="T114" s="54"/>
      <c r="U114" s="54" t="s">
        <v>399</v>
      </c>
      <c r="V114" s="54"/>
      <c r="W114" s="55"/>
      <c r="X114" s="73"/>
      <c r="Y114" s="73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2">
        <f t="shared" si="5"/>
        <v>0</v>
      </c>
      <c r="BD114" s="71" t="str">
        <f t="shared" si="6"/>
        <v>Lacking</v>
      </c>
      <c r="BE114" s="73">
        <f t="shared" si="7"/>
        <v>100</v>
      </c>
      <c r="BF114" s="74" t="e">
        <f t="shared" si="8"/>
        <v>#REF!</v>
      </c>
    </row>
    <row r="115" spans="1:58" s="63" customFormat="1" ht="16.5" customHeight="1" x14ac:dyDescent="0.25">
      <c r="A115" s="9" t="s">
        <v>260</v>
      </c>
      <c r="B115" s="48">
        <v>8217</v>
      </c>
      <c r="C115" s="49" t="s">
        <v>427</v>
      </c>
      <c r="D115" s="49" t="s">
        <v>428</v>
      </c>
      <c r="E115" s="50">
        <v>5</v>
      </c>
      <c r="F115" s="117">
        <v>46288</v>
      </c>
      <c r="G115" s="51" t="e">
        <f>VLOOKUP(C115,#REF!,12,0)</f>
        <v>#REF!</v>
      </c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3"/>
      <c r="S115" s="78"/>
      <c r="T115" s="80"/>
      <c r="U115" s="54"/>
      <c r="V115" s="54" t="s">
        <v>429</v>
      </c>
      <c r="W115" s="87" t="s">
        <v>255</v>
      </c>
      <c r="X115" s="73"/>
      <c r="Y115" s="73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2">
        <f t="shared" si="5"/>
        <v>0</v>
      </c>
      <c r="BD115" s="71" t="str">
        <f t="shared" si="6"/>
        <v>Lacking</v>
      </c>
      <c r="BE115" s="73">
        <f t="shared" si="7"/>
        <v>5</v>
      </c>
      <c r="BF115" s="74" t="e">
        <f t="shared" si="8"/>
        <v>#REF!</v>
      </c>
    </row>
    <row r="116" spans="1:58" s="63" customFormat="1" ht="16.5" customHeight="1" x14ac:dyDescent="0.25">
      <c r="A116" s="9" t="s">
        <v>260</v>
      </c>
      <c r="B116" s="48">
        <v>8217</v>
      </c>
      <c r="C116" s="49" t="s">
        <v>430</v>
      </c>
      <c r="D116" s="49" t="s">
        <v>431</v>
      </c>
      <c r="E116" s="50">
        <v>5</v>
      </c>
      <c r="F116" s="117">
        <v>46288</v>
      </c>
      <c r="G116" s="51" t="e">
        <f>VLOOKUP(C116,#REF!,12,0)</f>
        <v>#REF!</v>
      </c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3"/>
      <c r="S116" s="78"/>
      <c r="T116" s="80"/>
      <c r="U116" s="54"/>
      <c r="V116" s="54"/>
      <c r="W116" s="87" t="s">
        <v>255</v>
      </c>
      <c r="X116" s="73"/>
      <c r="Y116" s="73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2">
        <f t="shared" ref="BC116:BC127" si="9">SUM(X116:BB116)</f>
        <v>0</v>
      </c>
      <c r="BD116" s="71" t="str">
        <f t="shared" si="6"/>
        <v>Lacking</v>
      </c>
      <c r="BE116" s="73">
        <f t="shared" si="7"/>
        <v>5</v>
      </c>
      <c r="BF116" s="74" t="e">
        <f t="shared" si="8"/>
        <v>#REF!</v>
      </c>
    </row>
    <row r="117" spans="1:58" s="63" customFormat="1" ht="16.5" customHeight="1" x14ac:dyDescent="0.25">
      <c r="A117" s="9" t="s">
        <v>260</v>
      </c>
      <c r="B117" s="48">
        <v>8217</v>
      </c>
      <c r="C117" s="49" t="s">
        <v>432</v>
      </c>
      <c r="D117" s="49" t="s">
        <v>433</v>
      </c>
      <c r="E117" s="50">
        <v>5</v>
      </c>
      <c r="F117" s="117">
        <v>46288</v>
      </c>
      <c r="G117" s="51" t="e">
        <f>VLOOKUP(C117,#REF!,12,0)</f>
        <v>#REF!</v>
      </c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3"/>
      <c r="S117" s="78"/>
      <c r="T117" s="80"/>
      <c r="U117" s="54"/>
      <c r="V117" s="54"/>
      <c r="W117" s="87" t="s">
        <v>255</v>
      </c>
      <c r="X117" s="73"/>
      <c r="Y117" s="73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2">
        <f t="shared" si="9"/>
        <v>0</v>
      </c>
      <c r="BD117" s="71" t="str">
        <f t="shared" si="6"/>
        <v>Lacking</v>
      </c>
      <c r="BE117" s="73">
        <f t="shared" si="7"/>
        <v>5</v>
      </c>
      <c r="BF117" s="74" t="e">
        <f t="shared" si="8"/>
        <v>#REF!</v>
      </c>
    </row>
    <row r="118" spans="1:58" s="63" customFormat="1" ht="16.5" customHeight="1" x14ac:dyDescent="0.25">
      <c r="A118" s="9" t="s">
        <v>260</v>
      </c>
      <c r="B118" s="48">
        <v>8217</v>
      </c>
      <c r="C118" s="49" t="s">
        <v>434</v>
      </c>
      <c r="D118" s="49" t="s">
        <v>435</v>
      </c>
      <c r="E118" s="50">
        <v>5</v>
      </c>
      <c r="F118" s="117">
        <v>46288</v>
      </c>
      <c r="G118" s="51" t="e">
        <f>VLOOKUP(C118,#REF!,12,0)</f>
        <v>#REF!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3"/>
      <c r="S118" s="78"/>
      <c r="T118" s="80"/>
      <c r="U118" s="54"/>
      <c r="V118" s="54"/>
      <c r="W118" s="87" t="s">
        <v>255</v>
      </c>
      <c r="X118" s="73"/>
      <c r="Y118" s="73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2">
        <f t="shared" si="9"/>
        <v>0</v>
      </c>
      <c r="BD118" s="71" t="str">
        <f t="shared" si="6"/>
        <v>Lacking</v>
      </c>
      <c r="BE118" s="73">
        <f t="shared" si="7"/>
        <v>5</v>
      </c>
      <c r="BF118" s="74" t="e">
        <f t="shared" si="8"/>
        <v>#REF!</v>
      </c>
    </row>
    <row r="119" spans="1:58" s="63" customFormat="1" ht="16.5" customHeight="1" x14ac:dyDescent="0.25">
      <c r="A119" s="9" t="s">
        <v>260</v>
      </c>
      <c r="B119" s="48">
        <v>8217</v>
      </c>
      <c r="C119" s="49" t="s">
        <v>436</v>
      </c>
      <c r="D119" s="49" t="s">
        <v>437</v>
      </c>
      <c r="E119" s="112">
        <v>10</v>
      </c>
      <c r="F119" s="117">
        <v>46288</v>
      </c>
      <c r="G119" s="51" t="e">
        <f>VLOOKUP(C119,#REF!,12,0)</f>
        <v>#REF!</v>
      </c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3"/>
      <c r="S119" s="78"/>
      <c r="T119" s="54"/>
      <c r="U119" s="54"/>
      <c r="V119" s="54"/>
      <c r="W119" s="55" t="s">
        <v>256</v>
      </c>
      <c r="X119" s="73"/>
      <c r="Y119" s="73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2">
        <f t="shared" si="9"/>
        <v>0</v>
      </c>
      <c r="BD119" s="71" t="str">
        <f t="shared" si="6"/>
        <v>Lacking</v>
      </c>
      <c r="BE119" s="73">
        <f t="shared" si="7"/>
        <v>10</v>
      </c>
      <c r="BF119" s="74" t="e">
        <f t="shared" si="8"/>
        <v>#REF!</v>
      </c>
    </row>
    <row r="120" spans="1:58" s="63" customFormat="1" ht="16.5" customHeight="1" x14ac:dyDescent="0.25">
      <c r="A120" s="9" t="s">
        <v>260</v>
      </c>
      <c r="B120" s="48">
        <v>8217</v>
      </c>
      <c r="C120" s="49" t="s">
        <v>438</v>
      </c>
      <c r="D120" s="49" t="s">
        <v>439</v>
      </c>
      <c r="E120" s="112">
        <v>10</v>
      </c>
      <c r="F120" s="117">
        <v>46288</v>
      </c>
      <c r="G120" s="51" t="e">
        <f>VLOOKUP(C120,#REF!,12,0)</f>
        <v>#REF!</v>
      </c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3"/>
      <c r="S120" s="78"/>
      <c r="T120" s="54"/>
      <c r="U120" s="54"/>
      <c r="V120" s="54"/>
      <c r="W120" s="55" t="s">
        <v>256</v>
      </c>
      <c r="X120" s="73"/>
      <c r="Y120" s="73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2">
        <f t="shared" si="9"/>
        <v>0</v>
      </c>
      <c r="BD120" s="71" t="str">
        <f t="shared" si="6"/>
        <v>Lacking</v>
      </c>
      <c r="BE120" s="73">
        <f t="shared" si="7"/>
        <v>10</v>
      </c>
      <c r="BF120" s="74" t="e">
        <f t="shared" si="8"/>
        <v>#REF!</v>
      </c>
    </row>
    <row r="121" spans="1:58" s="63" customFormat="1" ht="16.5" customHeight="1" x14ac:dyDescent="0.25">
      <c r="A121" s="9" t="s">
        <v>260</v>
      </c>
      <c r="B121" s="48">
        <v>8217</v>
      </c>
      <c r="C121" s="49" t="s">
        <v>45</v>
      </c>
      <c r="D121" s="49" t="s">
        <v>440</v>
      </c>
      <c r="E121" s="64">
        <v>22</v>
      </c>
      <c r="F121" s="117">
        <v>46288</v>
      </c>
      <c r="G121" s="51" t="e">
        <f>VLOOKUP(C121,#REF!,12,0)</f>
        <v>#REF!</v>
      </c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3"/>
      <c r="S121" s="78" t="s">
        <v>290</v>
      </c>
      <c r="T121" s="54"/>
      <c r="U121" s="54"/>
      <c r="V121" s="54"/>
      <c r="W121" s="55" t="s">
        <v>257</v>
      </c>
      <c r="X121" s="73"/>
      <c r="Y121" s="73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2">
        <f t="shared" si="9"/>
        <v>0</v>
      </c>
      <c r="BD121" s="71" t="str">
        <f t="shared" si="6"/>
        <v>Lacking</v>
      </c>
      <c r="BE121" s="73">
        <f t="shared" si="7"/>
        <v>22</v>
      </c>
      <c r="BF121" s="74" t="e">
        <f t="shared" si="8"/>
        <v>#REF!</v>
      </c>
    </row>
    <row r="122" spans="1:58" s="63" customFormat="1" ht="16.5" customHeight="1" x14ac:dyDescent="0.25">
      <c r="A122" s="9" t="s">
        <v>260</v>
      </c>
      <c r="B122" s="48">
        <v>8217</v>
      </c>
      <c r="C122" s="49" t="s">
        <v>63</v>
      </c>
      <c r="D122" s="49" t="s">
        <v>64</v>
      </c>
      <c r="E122" s="64">
        <v>10</v>
      </c>
      <c r="F122" s="117">
        <v>46288</v>
      </c>
      <c r="G122" s="51" t="e">
        <f>VLOOKUP(C122,#REF!,12,0)</f>
        <v>#REF!</v>
      </c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3"/>
      <c r="S122" s="78"/>
      <c r="T122" s="54"/>
      <c r="U122" s="54"/>
      <c r="V122" s="54"/>
      <c r="W122" s="55" t="s">
        <v>257</v>
      </c>
      <c r="X122" s="73"/>
      <c r="Y122" s="73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2">
        <f t="shared" si="9"/>
        <v>0</v>
      </c>
      <c r="BD122" s="71" t="str">
        <f t="shared" si="6"/>
        <v>Lacking</v>
      </c>
      <c r="BE122" s="73">
        <f t="shared" si="7"/>
        <v>10</v>
      </c>
      <c r="BF122" s="74" t="e">
        <f t="shared" si="8"/>
        <v>#REF!</v>
      </c>
    </row>
    <row r="123" spans="1:58" s="63" customFormat="1" ht="16.5" customHeight="1" x14ac:dyDescent="0.25">
      <c r="A123" s="9" t="s">
        <v>260</v>
      </c>
      <c r="B123" s="48">
        <v>8217</v>
      </c>
      <c r="C123" s="49" t="s">
        <v>441</v>
      </c>
      <c r="D123" s="49" t="s">
        <v>442</v>
      </c>
      <c r="E123" s="64">
        <v>7</v>
      </c>
      <c r="F123" s="117">
        <v>46288</v>
      </c>
      <c r="G123" s="51" t="e">
        <f>VLOOKUP(C123,#REF!,12,0)</f>
        <v>#REF!</v>
      </c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3"/>
      <c r="S123" s="78"/>
      <c r="T123" s="54"/>
      <c r="U123" s="54"/>
      <c r="V123" s="54"/>
      <c r="W123" s="55" t="s">
        <v>257</v>
      </c>
      <c r="X123" s="73"/>
      <c r="Y123" s="73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2">
        <f t="shared" si="9"/>
        <v>0</v>
      </c>
      <c r="BD123" s="71" t="str">
        <f t="shared" si="6"/>
        <v>Lacking</v>
      </c>
      <c r="BE123" s="73">
        <f t="shared" si="7"/>
        <v>7</v>
      </c>
      <c r="BF123" s="74" t="e">
        <f t="shared" si="8"/>
        <v>#REF!</v>
      </c>
    </row>
    <row r="124" spans="1:58" ht="16.5" customHeight="1" x14ac:dyDescent="0.25">
      <c r="A124" s="9" t="s">
        <v>260</v>
      </c>
      <c r="B124" s="48">
        <v>8217</v>
      </c>
      <c r="C124" s="49" t="s">
        <v>187</v>
      </c>
      <c r="D124" s="88" t="s">
        <v>188</v>
      </c>
      <c r="E124" s="101">
        <v>2</v>
      </c>
      <c r="F124" s="117">
        <v>46288</v>
      </c>
      <c r="G124" s="96" t="e">
        <f>VLOOKUP(C125,#REF!,12,0)</f>
        <v>#REF!</v>
      </c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1"/>
      <c r="S124" s="115" t="s">
        <v>443</v>
      </c>
      <c r="T124" s="99" t="s">
        <v>444</v>
      </c>
      <c r="U124" s="99"/>
      <c r="V124" s="99"/>
      <c r="W124" s="55" t="s">
        <v>257</v>
      </c>
      <c r="X124" s="61"/>
      <c r="Y124" s="61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59">
        <f t="shared" si="9"/>
        <v>0</v>
      </c>
      <c r="BD124" s="60" t="str">
        <f t="shared" si="6"/>
        <v>Lacking</v>
      </c>
      <c r="BE124" s="61">
        <f t="shared" si="7"/>
        <v>2</v>
      </c>
      <c r="BF124" s="62" t="e">
        <f t="shared" si="8"/>
        <v>#REF!</v>
      </c>
    </row>
    <row r="125" spans="1:58" ht="16.5" customHeight="1" x14ac:dyDescent="0.25">
      <c r="A125" s="9" t="s">
        <v>260</v>
      </c>
      <c r="B125" s="48">
        <v>8217</v>
      </c>
      <c r="C125" s="88" t="s">
        <v>195</v>
      </c>
      <c r="D125" s="88" t="s">
        <v>196</v>
      </c>
      <c r="E125" s="101">
        <v>5</v>
      </c>
      <c r="F125" s="117">
        <v>46288</v>
      </c>
      <c r="G125" s="96" t="e">
        <f>VLOOKUP(C126,#REF!,12,0)</f>
        <v>#REF!</v>
      </c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1"/>
      <c r="S125" s="115" t="s">
        <v>290</v>
      </c>
      <c r="T125" s="99"/>
      <c r="U125" s="99"/>
      <c r="V125" s="99"/>
      <c r="W125" s="55" t="s">
        <v>257</v>
      </c>
      <c r="X125" s="61"/>
      <c r="Y125" s="61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59">
        <f t="shared" si="9"/>
        <v>0</v>
      </c>
      <c r="BD125" s="60" t="str">
        <f t="shared" si="6"/>
        <v>Lacking</v>
      </c>
      <c r="BE125" s="61">
        <f t="shared" si="7"/>
        <v>5</v>
      </c>
      <c r="BF125" s="62" t="e">
        <f t="shared" si="8"/>
        <v>#REF!</v>
      </c>
    </row>
    <row r="126" spans="1:58" ht="16.5" customHeight="1" x14ac:dyDescent="0.25">
      <c r="A126" s="9" t="s">
        <v>260</v>
      </c>
      <c r="B126" s="48">
        <v>8217</v>
      </c>
      <c r="C126" s="88" t="s">
        <v>163</v>
      </c>
      <c r="D126" s="88" t="s">
        <v>164</v>
      </c>
      <c r="E126" s="101">
        <v>59</v>
      </c>
      <c r="F126" s="117">
        <v>46288</v>
      </c>
      <c r="G126" s="96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1"/>
      <c r="S126" s="115" t="s">
        <v>290</v>
      </c>
      <c r="T126" s="99"/>
      <c r="U126" s="99"/>
      <c r="V126" s="99"/>
      <c r="W126" s="55" t="s">
        <v>257</v>
      </c>
      <c r="X126" s="61"/>
      <c r="Y126" s="61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59">
        <f t="shared" si="9"/>
        <v>0</v>
      </c>
      <c r="BD126" s="60" t="str">
        <f t="shared" si="6"/>
        <v>Lacking</v>
      </c>
      <c r="BE126" s="61">
        <f t="shared" si="7"/>
        <v>59</v>
      </c>
      <c r="BF126" s="62">
        <f t="shared" si="8"/>
        <v>0</v>
      </c>
    </row>
    <row r="127" spans="1:58" ht="16.5" customHeight="1" x14ac:dyDescent="0.25">
      <c r="A127" s="9" t="s">
        <v>260</v>
      </c>
      <c r="B127" s="48">
        <v>8217</v>
      </c>
      <c r="C127" s="88" t="s">
        <v>171</v>
      </c>
      <c r="D127" s="88" t="s">
        <v>172</v>
      </c>
      <c r="E127" s="101">
        <v>108</v>
      </c>
      <c r="F127" s="117">
        <v>46288</v>
      </c>
      <c r="G127" s="96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1"/>
      <c r="S127" s="115" t="s">
        <v>290</v>
      </c>
      <c r="T127" s="99"/>
      <c r="U127" s="99"/>
      <c r="V127" s="99"/>
      <c r="W127" s="55"/>
      <c r="X127" s="61"/>
      <c r="Y127" s="61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59">
        <f t="shared" si="9"/>
        <v>0</v>
      </c>
      <c r="BD127" s="60" t="str">
        <f t="shared" si="6"/>
        <v>Lacking</v>
      </c>
      <c r="BE127" s="61">
        <f t="shared" si="7"/>
        <v>108</v>
      </c>
      <c r="BF127" s="62">
        <f t="shared" si="8"/>
        <v>0</v>
      </c>
    </row>
    <row r="128" spans="1:58" ht="16.5" customHeight="1" x14ac:dyDescent="0.25">
      <c r="B128" s="48"/>
      <c r="C128" s="88"/>
      <c r="D128" s="88"/>
      <c r="E128" s="95"/>
      <c r="F128" s="62"/>
      <c r="G128" s="96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1"/>
      <c r="S128" s="115"/>
      <c r="T128" s="99"/>
      <c r="U128" s="99"/>
      <c r="V128" s="99"/>
      <c r="W128" s="100"/>
      <c r="X128" s="61"/>
      <c r="Y128" s="61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59"/>
      <c r="BD128" s="60"/>
      <c r="BE128" s="61"/>
      <c r="BF128" s="62"/>
    </row>
    <row r="129" spans="2:58" ht="16.5" customHeight="1" x14ac:dyDescent="0.25">
      <c r="B129" s="94"/>
      <c r="C129" s="88"/>
      <c r="D129" s="88"/>
      <c r="E129" s="95"/>
      <c r="F129" s="62"/>
      <c r="G129" s="96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1"/>
      <c r="S129" s="115"/>
      <c r="T129" s="99"/>
      <c r="U129" s="99"/>
      <c r="V129" s="99"/>
      <c r="W129" s="100"/>
      <c r="X129" s="61"/>
      <c r="Y129" s="61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59"/>
      <c r="BD129" s="60"/>
      <c r="BE129" s="61"/>
      <c r="BF129" s="62"/>
    </row>
    <row r="130" spans="2:58" ht="16.5" customHeight="1" x14ac:dyDescent="0.25">
      <c r="B130" s="94"/>
      <c r="C130" s="88"/>
      <c r="D130" s="88"/>
      <c r="E130" s="95"/>
      <c r="F130" s="62"/>
      <c r="G130" s="96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1"/>
      <c r="S130" s="115"/>
      <c r="T130" s="99"/>
      <c r="U130" s="99"/>
      <c r="V130" s="99"/>
      <c r="W130" s="100"/>
      <c r="X130" s="61"/>
      <c r="Y130" s="61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59"/>
      <c r="BD130" s="60"/>
      <c r="BE130" s="61"/>
      <c r="BF130" s="62"/>
    </row>
    <row r="131" spans="2:58" ht="16.5" customHeight="1" x14ac:dyDescent="0.25">
      <c r="B131" s="94"/>
      <c r="C131" s="88"/>
      <c r="D131" s="88"/>
      <c r="E131" s="95"/>
      <c r="F131" s="62"/>
      <c r="G131" s="96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1"/>
      <c r="S131" s="115"/>
      <c r="T131" s="99"/>
      <c r="U131" s="99"/>
      <c r="V131" s="99"/>
      <c r="W131" s="100"/>
      <c r="X131" s="61"/>
      <c r="Y131" s="61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59"/>
      <c r="BD131" s="60"/>
      <c r="BE131" s="61"/>
      <c r="BF131" s="62"/>
    </row>
    <row r="132" spans="2:58" ht="16.5" customHeight="1" x14ac:dyDescent="0.25">
      <c r="B132" s="94"/>
      <c r="C132" s="88"/>
      <c r="D132" s="88"/>
      <c r="E132" s="95"/>
      <c r="F132" s="62"/>
      <c r="G132" s="96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1"/>
      <c r="S132" s="115"/>
      <c r="T132" s="99"/>
      <c r="U132" s="99"/>
      <c r="V132" s="99"/>
      <c r="W132" s="100"/>
      <c r="X132" s="61"/>
      <c r="Y132" s="61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59"/>
      <c r="BD132" s="60"/>
      <c r="BE132" s="61"/>
      <c r="BF132" s="62"/>
    </row>
    <row r="133" spans="2:58" ht="16.5" customHeight="1" x14ac:dyDescent="0.25">
      <c r="B133" s="94"/>
      <c r="C133" s="88"/>
      <c r="D133" s="88"/>
      <c r="E133" s="95"/>
      <c r="F133" s="62"/>
      <c r="G133" s="96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1"/>
      <c r="S133" s="115"/>
      <c r="T133" s="99"/>
      <c r="U133" s="99"/>
      <c r="V133" s="99"/>
      <c r="W133" s="100"/>
      <c r="X133" s="61"/>
      <c r="Y133" s="61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59"/>
      <c r="BD133" s="60"/>
      <c r="BE133" s="61"/>
      <c r="BF133" s="62"/>
    </row>
    <row r="134" spans="2:58" ht="16.5" customHeight="1" x14ac:dyDescent="0.25">
      <c r="B134" s="94"/>
      <c r="C134" s="88"/>
      <c r="D134" s="88"/>
      <c r="E134" s="95"/>
      <c r="F134" s="62"/>
      <c r="G134" s="96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1"/>
      <c r="S134" s="115"/>
      <c r="T134" s="99"/>
      <c r="U134" s="99"/>
      <c r="V134" s="99"/>
      <c r="W134" s="100"/>
      <c r="X134" s="61"/>
      <c r="Y134" s="61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59"/>
      <c r="BD134" s="60"/>
      <c r="BE134" s="61"/>
      <c r="BF134" s="62"/>
    </row>
    <row r="135" spans="2:58" ht="16.5" customHeight="1" x14ac:dyDescent="0.25">
      <c r="B135" s="94"/>
      <c r="C135" s="88"/>
      <c r="D135" s="88"/>
      <c r="E135" s="95"/>
      <c r="F135" s="62"/>
      <c r="G135" s="96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1"/>
      <c r="S135" s="115"/>
      <c r="T135" s="99"/>
      <c r="U135" s="99"/>
      <c r="V135" s="99"/>
      <c r="W135" s="100"/>
      <c r="X135" s="61"/>
      <c r="Y135" s="61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59"/>
      <c r="BD135" s="60"/>
      <c r="BE135" s="61"/>
      <c r="BF135" s="62"/>
    </row>
    <row r="136" spans="2:58" ht="16.5" customHeight="1" x14ac:dyDescent="0.25">
      <c r="B136" s="94"/>
      <c r="C136" s="88"/>
      <c r="D136" s="88"/>
      <c r="E136" s="95"/>
      <c r="F136" s="62"/>
      <c r="G136" s="96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1"/>
      <c r="S136" s="115"/>
      <c r="T136" s="99"/>
      <c r="U136" s="99"/>
      <c r="V136" s="99"/>
      <c r="W136" s="100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59"/>
      <c r="BD136" s="60"/>
      <c r="BE136" s="61"/>
      <c r="BF136" s="62"/>
    </row>
    <row r="137" spans="2:58" ht="16.5" customHeight="1" x14ac:dyDescent="0.25">
      <c r="B137" s="94"/>
      <c r="C137" s="88"/>
      <c r="D137" s="88"/>
      <c r="E137" s="95"/>
      <c r="F137" s="62"/>
      <c r="G137" s="96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1"/>
      <c r="S137" s="115"/>
      <c r="T137" s="99"/>
      <c r="U137" s="99"/>
      <c r="V137" s="99"/>
      <c r="W137" s="100"/>
      <c r="X137" s="61"/>
      <c r="Y137" s="61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59"/>
      <c r="BD137" s="60"/>
      <c r="BE137" s="61"/>
      <c r="BF137" s="62"/>
    </row>
    <row r="138" spans="2:58" ht="16.5" customHeight="1" x14ac:dyDescent="0.25">
      <c r="B138" s="94"/>
      <c r="C138" s="88"/>
      <c r="D138" s="88"/>
      <c r="E138" s="95"/>
      <c r="F138" s="62"/>
      <c r="G138" s="96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1"/>
      <c r="S138" s="115"/>
      <c r="T138" s="99"/>
      <c r="U138" s="99"/>
      <c r="V138" s="99"/>
      <c r="W138" s="100"/>
      <c r="X138" s="61"/>
      <c r="Y138" s="61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59"/>
      <c r="BD138" s="60"/>
      <c r="BE138" s="61"/>
      <c r="BF138" s="62"/>
    </row>
    <row r="139" spans="2:58" x14ac:dyDescent="0.25">
      <c r="C139" s="88"/>
    </row>
    <row r="145" spans="27:27" x14ac:dyDescent="0.25">
      <c r="AA145" s="93"/>
    </row>
    <row r="152" spans="27:27" x14ac:dyDescent="0.25">
      <c r="AA152" s="93"/>
    </row>
  </sheetData>
  <autoFilter ref="B4:BF138" xr:uid="{00000000-0009-0000-0000-0000B8000000}"/>
  <mergeCells count="22">
    <mergeCell ref="V3:V4"/>
    <mergeCell ref="W3:W4"/>
    <mergeCell ref="BC1:BC2"/>
    <mergeCell ref="H3:H4"/>
    <mergeCell ref="I3:J3"/>
    <mergeCell ref="K3:K4"/>
    <mergeCell ref="L3:L4"/>
    <mergeCell ref="M3:M4"/>
    <mergeCell ref="N3:N4"/>
    <mergeCell ref="O3:O4"/>
    <mergeCell ref="P3:P4"/>
    <mergeCell ref="Q3:Q4"/>
    <mergeCell ref="X1:BB1"/>
    <mergeCell ref="U3:U4"/>
    <mergeCell ref="D1:D4"/>
    <mergeCell ref="F1:G1"/>
    <mergeCell ref="H1:L2"/>
    <mergeCell ref="M1:R2"/>
    <mergeCell ref="T1:T2"/>
    <mergeCell ref="R3:R4"/>
    <mergeCell ref="S3:S4"/>
    <mergeCell ref="T3:T4"/>
  </mergeCells>
  <conditionalFormatting sqref="B3 C3:C4 G3:G4 C10:D12">
    <cfRule type="expression" dxfId="12" priority="3">
      <formula>#REF!="done"</formula>
    </cfRule>
  </conditionalFormatting>
  <conditionalFormatting sqref="T1:V1 U2:V2 T3:V3 T5:V114 U115:W118 T119:V1048576">
    <cfRule type="containsText" dxfId="11" priority="2" operator="containsText" text="Complete">
      <formula>NOT(ISERROR(SEARCH("Complete",T1)))</formula>
    </cfRule>
  </conditionalFormatting>
  <conditionalFormatting sqref="BD1:BD1048576">
    <cfRule type="cellIs" dxfId="10" priority="1" operator="equal">
      <formula>"Lacking"</formula>
    </cfRule>
  </conditionalFormatting>
  <pageMargins left="0.25" right="0" top="1.25" bottom="0.75" header="0.3" footer="0.3"/>
  <pageSetup paperSize="9" scale="7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411C-8A77-4078-B3A8-793F24AE939E}">
  <sheetPr>
    <tabColor rgb="FF00B050"/>
  </sheetPr>
  <dimension ref="A3:W169"/>
  <sheetViews>
    <sheetView topLeftCell="A40" workbookViewId="0">
      <selection activeCell="H12" sqref="H12"/>
    </sheetView>
  </sheetViews>
  <sheetFormatPr defaultRowHeight="15" x14ac:dyDescent="0.25"/>
  <cols>
    <col min="1" max="1" width="18.7109375" customWidth="1"/>
    <col min="2" max="2" width="73.42578125" bestFit="1" customWidth="1"/>
    <col min="3" max="22" width="21" bestFit="1" customWidth="1"/>
    <col min="23" max="23" width="11.28515625" bestFit="1" customWidth="1"/>
    <col min="24" max="34" width="26.28515625" bestFit="1" customWidth="1"/>
    <col min="35" max="35" width="11.28515625" bestFit="1" customWidth="1"/>
  </cols>
  <sheetData>
    <row r="3" spans="1:23" x14ac:dyDescent="0.25">
      <c r="A3" s="118" t="s">
        <v>453</v>
      </c>
      <c r="C3" s="118" t="s">
        <v>450</v>
      </c>
      <c r="D3" s="118" t="s">
        <v>445</v>
      </c>
    </row>
    <row r="4" spans="1:23" x14ac:dyDescent="0.25">
      <c r="C4" t="s">
        <v>451</v>
      </c>
      <c r="D4" t="s">
        <v>690</v>
      </c>
      <c r="E4" t="s">
        <v>457</v>
      </c>
      <c r="F4" t="s">
        <v>460</v>
      </c>
      <c r="G4" t="s">
        <v>464</v>
      </c>
      <c r="I4" t="s">
        <v>504</v>
      </c>
      <c r="J4" t="s">
        <v>512</v>
      </c>
      <c r="K4" t="s">
        <v>519</v>
      </c>
      <c r="L4" t="s">
        <v>536</v>
      </c>
      <c r="M4" t="s">
        <v>547</v>
      </c>
      <c r="N4" t="s">
        <v>559</v>
      </c>
      <c r="O4" t="s">
        <v>580</v>
      </c>
      <c r="P4" t="s">
        <v>637</v>
      </c>
      <c r="Q4" t="s">
        <v>649</v>
      </c>
      <c r="R4" t="s">
        <v>651</v>
      </c>
      <c r="S4" t="s">
        <v>660</v>
      </c>
      <c r="T4" t="s">
        <v>661</v>
      </c>
      <c r="V4" t="s">
        <v>683</v>
      </c>
      <c r="W4" t="s">
        <v>452</v>
      </c>
    </row>
    <row r="5" spans="1:23" x14ac:dyDescent="0.25">
      <c r="A5" s="118" t="s">
        <v>446</v>
      </c>
      <c r="B5" s="118" t="s">
        <v>447</v>
      </c>
      <c r="C5" t="s">
        <v>451</v>
      </c>
      <c r="D5">
        <v>9389</v>
      </c>
      <c r="E5">
        <v>6638</v>
      </c>
      <c r="F5">
        <v>6773</v>
      </c>
      <c r="G5">
        <v>6583</v>
      </c>
      <c r="H5">
        <v>7159</v>
      </c>
      <c r="I5">
        <v>8765</v>
      </c>
      <c r="J5">
        <v>8952</v>
      </c>
      <c r="K5">
        <v>9204</v>
      </c>
      <c r="L5">
        <v>9005</v>
      </c>
      <c r="M5">
        <v>9160</v>
      </c>
      <c r="N5">
        <v>9143</v>
      </c>
      <c r="O5">
        <v>9122</v>
      </c>
      <c r="P5" t="s">
        <v>451</v>
      </c>
      <c r="Q5">
        <v>8814</v>
      </c>
      <c r="R5">
        <v>9164</v>
      </c>
      <c r="S5">
        <v>9288</v>
      </c>
      <c r="T5">
        <v>9153</v>
      </c>
      <c r="U5">
        <v>8938</v>
      </c>
      <c r="V5" t="s">
        <v>686</v>
      </c>
    </row>
    <row r="6" spans="1:23" x14ac:dyDescent="0.25">
      <c r="A6" t="s">
        <v>65</v>
      </c>
      <c r="B6" t="s">
        <v>506</v>
      </c>
      <c r="J6">
        <v>200</v>
      </c>
      <c r="W6">
        <v>200</v>
      </c>
    </row>
    <row r="7" spans="1:23" x14ac:dyDescent="0.25">
      <c r="A7" t="s">
        <v>67</v>
      </c>
      <c r="B7" t="s">
        <v>68</v>
      </c>
      <c r="O7">
        <v>96</v>
      </c>
      <c r="W7">
        <v>96</v>
      </c>
    </row>
    <row r="8" spans="1:23" x14ac:dyDescent="0.25">
      <c r="A8" t="s">
        <v>107</v>
      </c>
      <c r="B8" t="s">
        <v>583</v>
      </c>
      <c r="I8">
        <v>17</v>
      </c>
      <c r="N8">
        <v>5</v>
      </c>
      <c r="P8">
        <v>3</v>
      </c>
      <c r="Q8">
        <v>2</v>
      </c>
      <c r="R8">
        <v>100</v>
      </c>
      <c r="T8">
        <v>2</v>
      </c>
      <c r="W8">
        <v>129</v>
      </c>
    </row>
    <row r="9" spans="1:23" x14ac:dyDescent="0.25">
      <c r="A9" t="s">
        <v>111</v>
      </c>
      <c r="B9" t="s">
        <v>505</v>
      </c>
      <c r="P9">
        <v>1</v>
      </c>
      <c r="W9">
        <v>1</v>
      </c>
    </row>
    <row r="10" spans="1:23" x14ac:dyDescent="0.25">
      <c r="A10" t="s">
        <v>327</v>
      </c>
      <c r="B10" t="s">
        <v>667</v>
      </c>
      <c r="J10">
        <v>25</v>
      </c>
      <c r="W10">
        <v>25</v>
      </c>
    </row>
    <row r="11" spans="1:23" x14ac:dyDescent="0.25">
      <c r="A11" t="s">
        <v>141</v>
      </c>
      <c r="B11" t="s">
        <v>142</v>
      </c>
      <c r="O11">
        <v>8</v>
      </c>
      <c r="W11">
        <v>8</v>
      </c>
    </row>
    <row r="12" spans="1:23" x14ac:dyDescent="0.25">
      <c r="A12" t="s">
        <v>309</v>
      </c>
      <c r="B12" t="s">
        <v>585</v>
      </c>
      <c r="N12">
        <v>5</v>
      </c>
      <c r="R12">
        <v>200</v>
      </c>
      <c r="W12">
        <v>205</v>
      </c>
    </row>
    <row r="13" spans="1:23" x14ac:dyDescent="0.25">
      <c r="A13" t="s">
        <v>51</v>
      </c>
      <c r="B13" t="s">
        <v>582</v>
      </c>
      <c r="I13">
        <v>53</v>
      </c>
      <c r="N13">
        <v>5</v>
      </c>
      <c r="P13">
        <v>2</v>
      </c>
      <c r="Q13">
        <v>2</v>
      </c>
      <c r="R13">
        <v>100</v>
      </c>
      <c r="T13">
        <v>2</v>
      </c>
      <c r="W13">
        <v>164</v>
      </c>
    </row>
    <row r="14" spans="1:23" x14ac:dyDescent="0.25">
      <c r="A14" t="s">
        <v>139</v>
      </c>
      <c r="B14" t="s">
        <v>675</v>
      </c>
      <c r="J14">
        <v>300</v>
      </c>
      <c r="L14">
        <v>1707</v>
      </c>
      <c r="N14">
        <v>5</v>
      </c>
      <c r="P14">
        <v>1</v>
      </c>
      <c r="R14">
        <v>300</v>
      </c>
      <c r="W14">
        <v>2313</v>
      </c>
    </row>
    <row r="15" spans="1:23" x14ac:dyDescent="0.25">
      <c r="A15" t="s">
        <v>343</v>
      </c>
      <c r="B15" t="s">
        <v>575</v>
      </c>
      <c r="O15">
        <v>20</v>
      </c>
      <c r="W15">
        <v>20</v>
      </c>
    </row>
    <row r="16" spans="1:23" x14ac:dyDescent="0.25">
      <c r="A16" t="s">
        <v>336</v>
      </c>
      <c r="B16" t="s">
        <v>587</v>
      </c>
      <c r="O16">
        <v>20</v>
      </c>
      <c r="R16">
        <v>50</v>
      </c>
      <c r="W16">
        <v>70</v>
      </c>
    </row>
    <row r="17" spans="1:23" x14ac:dyDescent="0.25">
      <c r="A17" t="s">
        <v>330</v>
      </c>
      <c r="B17" t="s">
        <v>669</v>
      </c>
      <c r="J17">
        <v>25</v>
      </c>
      <c r="W17">
        <v>25</v>
      </c>
    </row>
    <row r="18" spans="1:23" x14ac:dyDescent="0.25">
      <c r="A18" t="s">
        <v>131</v>
      </c>
      <c r="B18" t="s">
        <v>671</v>
      </c>
      <c r="J18">
        <v>25</v>
      </c>
      <c r="N18">
        <v>5</v>
      </c>
      <c r="R18">
        <v>50</v>
      </c>
      <c r="V18">
        <v>100</v>
      </c>
      <c r="W18">
        <v>180</v>
      </c>
    </row>
    <row r="19" spans="1:23" x14ac:dyDescent="0.25">
      <c r="A19" t="s">
        <v>55</v>
      </c>
      <c r="B19" t="s">
        <v>56</v>
      </c>
      <c r="O19">
        <v>16</v>
      </c>
      <c r="W19">
        <v>16</v>
      </c>
    </row>
    <row r="20" spans="1:23" x14ac:dyDescent="0.25">
      <c r="A20" t="s">
        <v>59</v>
      </c>
      <c r="B20" t="s">
        <v>60</v>
      </c>
      <c r="O20">
        <v>8</v>
      </c>
      <c r="W20">
        <v>8</v>
      </c>
    </row>
    <row r="21" spans="1:23" x14ac:dyDescent="0.25">
      <c r="A21" t="s">
        <v>9</v>
      </c>
      <c r="B21" t="s">
        <v>628</v>
      </c>
      <c r="O21">
        <v>30</v>
      </c>
      <c r="P21">
        <v>1</v>
      </c>
      <c r="W21">
        <v>31</v>
      </c>
    </row>
    <row r="22" spans="1:23" x14ac:dyDescent="0.25">
      <c r="A22" t="s">
        <v>310</v>
      </c>
      <c r="B22" t="s">
        <v>596</v>
      </c>
      <c r="N22">
        <v>10</v>
      </c>
      <c r="Q22">
        <v>2</v>
      </c>
      <c r="R22">
        <v>300</v>
      </c>
      <c r="W22">
        <v>312</v>
      </c>
    </row>
    <row r="23" spans="1:23" x14ac:dyDescent="0.25">
      <c r="A23" t="s">
        <v>163</v>
      </c>
      <c r="B23" t="s">
        <v>613</v>
      </c>
      <c r="D23">
        <v>20</v>
      </c>
      <c r="I23">
        <v>53</v>
      </c>
      <c r="O23">
        <v>30</v>
      </c>
      <c r="P23">
        <v>2</v>
      </c>
      <c r="T23">
        <v>2</v>
      </c>
      <c r="W23">
        <v>107</v>
      </c>
    </row>
    <row r="24" spans="1:23" x14ac:dyDescent="0.25">
      <c r="A24" t="s">
        <v>167</v>
      </c>
      <c r="B24" t="s">
        <v>645</v>
      </c>
      <c r="J24">
        <v>300</v>
      </c>
      <c r="P24">
        <v>1</v>
      </c>
      <c r="W24">
        <v>301</v>
      </c>
    </row>
    <row r="25" spans="1:23" x14ac:dyDescent="0.25">
      <c r="A25" t="s">
        <v>345</v>
      </c>
      <c r="B25" t="s">
        <v>588</v>
      </c>
      <c r="O25">
        <v>20</v>
      </c>
      <c r="W25">
        <v>20</v>
      </c>
    </row>
    <row r="26" spans="1:23" x14ac:dyDescent="0.25">
      <c r="A26" t="s">
        <v>338</v>
      </c>
      <c r="B26" t="s">
        <v>588</v>
      </c>
      <c r="O26">
        <v>20</v>
      </c>
      <c r="R26">
        <v>50</v>
      </c>
      <c r="W26">
        <v>70</v>
      </c>
    </row>
    <row r="27" spans="1:23" x14ac:dyDescent="0.25">
      <c r="A27" t="s">
        <v>153</v>
      </c>
      <c r="B27" t="s">
        <v>590</v>
      </c>
      <c r="J27">
        <v>25</v>
      </c>
      <c r="N27">
        <v>5</v>
      </c>
      <c r="R27">
        <v>50</v>
      </c>
      <c r="V27">
        <v>100</v>
      </c>
      <c r="W27">
        <v>180</v>
      </c>
    </row>
    <row r="28" spans="1:23" x14ac:dyDescent="0.25">
      <c r="A28" t="s">
        <v>195</v>
      </c>
      <c r="B28" t="s">
        <v>196</v>
      </c>
      <c r="O28">
        <v>24</v>
      </c>
      <c r="W28">
        <v>24</v>
      </c>
    </row>
    <row r="29" spans="1:23" x14ac:dyDescent="0.25">
      <c r="A29" t="s">
        <v>193</v>
      </c>
      <c r="B29" t="s">
        <v>194</v>
      </c>
      <c r="L29">
        <v>500</v>
      </c>
      <c r="O29">
        <v>36</v>
      </c>
      <c r="W29">
        <v>536</v>
      </c>
    </row>
    <row r="30" spans="1:23" x14ac:dyDescent="0.25">
      <c r="A30" t="s">
        <v>191</v>
      </c>
      <c r="B30" t="s">
        <v>589</v>
      </c>
      <c r="O30">
        <v>24</v>
      </c>
      <c r="R30">
        <v>100</v>
      </c>
      <c r="W30">
        <v>124</v>
      </c>
    </row>
    <row r="31" spans="1:23" x14ac:dyDescent="0.25">
      <c r="A31" t="s">
        <v>329</v>
      </c>
      <c r="B31" t="s">
        <v>589</v>
      </c>
      <c r="J31">
        <v>25</v>
      </c>
      <c r="R31">
        <v>100</v>
      </c>
      <c r="W31">
        <v>125</v>
      </c>
    </row>
    <row r="32" spans="1:23" x14ac:dyDescent="0.25">
      <c r="A32" t="s">
        <v>189</v>
      </c>
      <c r="B32" t="s">
        <v>589</v>
      </c>
      <c r="J32">
        <v>25</v>
      </c>
      <c r="N32">
        <v>5</v>
      </c>
      <c r="O32">
        <v>36</v>
      </c>
      <c r="P32">
        <v>1</v>
      </c>
      <c r="R32">
        <v>300</v>
      </c>
      <c r="V32">
        <v>100</v>
      </c>
      <c r="W32">
        <v>467</v>
      </c>
    </row>
    <row r="33" spans="1:23" x14ac:dyDescent="0.25">
      <c r="A33" t="s">
        <v>387</v>
      </c>
      <c r="B33" t="s">
        <v>680</v>
      </c>
      <c r="I33">
        <v>17</v>
      </c>
      <c r="P33">
        <v>1</v>
      </c>
      <c r="T33">
        <v>2</v>
      </c>
      <c r="W33">
        <v>20</v>
      </c>
    </row>
    <row r="34" spans="1:23" x14ac:dyDescent="0.25">
      <c r="A34" t="s">
        <v>31</v>
      </c>
      <c r="B34" t="s">
        <v>625</v>
      </c>
      <c r="O34">
        <v>30</v>
      </c>
      <c r="P34">
        <v>1</v>
      </c>
      <c r="W34">
        <v>31</v>
      </c>
    </row>
    <row r="35" spans="1:23" x14ac:dyDescent="0.25">
      <c r="A35" t="s">
        <v>127</v>
      </c>
      <c r="B35" t="s">
        <v>128</v>
      </c>
      <c r="L35">
        <v>150</v>
      </c>
      <c r="W35">
        <v>150</v>
      </c>
    </row>
    <row r="36" spans="1:23" x14ac:dyDescent="0.25">
      <c r="A36" t="s">
        <v>33</v>
      </c>
      <c r="B36" t="s">
        <v>34</v>
      </c>
      <c r="L36">
        <v>250</v>
      </c>
      <c r="R36">
        <v>200</v>
      </c>
      <c r="W36">
        <v>450</v>
      </c>
    </row>
    <row r="37" spans="1:23" x14ac:dyDescent="0.25">
      <c r="A37" t="s">
        <v>125</v>
      </c>
      <c r="B37" t="s">
        <v>673</v>
      </c>
      <c r="N37">
        <v>5</v>
      </c>
      <c r="P37">
        <v>1</v>
      </c>
      <c r="Q37">
        <v>2</v>
      </c>
      <c r="R37">
        <v>350</v>
      </c>
      <c r="U37">
        <v>8</v>
      </c>
      <c r="W37">
        <v>366</v>
      </c>
    </row>
    <row r="38" spans="1:23" x14ac:dyDescent="0.25">
      <c r="A38" t="s">
        <v>129</v>
      </c>
      <c r="B38" t="s">
        <v>130</v>
      </c>
      <c r="R38">
        <v>200</v>
      </c>
      <c r="W38">
        <v>200</v>
      </c>
    </row>
    <row r="39" spans="1:23" x14ac:dyDescent="0.25">
      <c r="A39" t="s">
        <v>123</v>
      </c>
      <c r="B39" t="s">
        <v>124</v>
      </c>
      <c r="J39">
        <v>25</v>
      </c>
      <c r="R39">
        <v>200</v>
      </c>
      <c r="W39">
        <v>225</v>
      </c>
    </row>
    <row r="40" spans="1:23" x14ac:dyDescent="0.25">
      <c r="A40" t="s">
        <v>119</v>
      </c>
      <c r="B40" t="s">
        <v>670</v>
      </c>
      <c r="J40">
        <v>25</v>
      </c>
      <c r="N40">
        <v>5</v>
      </c>
      <c r="R40">
        <v>250</v>
      </c>
      <c r="V40">
        <v>100</v>
      </c>
      <c r="W40">
        <v>380</v>
      </c>
    </row>
    <row r="41" spans="1:23" x14ac:dyDescent="0.25">
      <c r="A41" t="s">
        <v>37</v>
      </c>
      <c r="B41" t="s">
        <v>38</v>
      </c>
      <c r="I41">
        <v>10</v>
      </c>
      <c r="W41">
        <v>10</v>
      </c>
    </row>
    <row r="42" spans="1:23" x14ac:dyDescent="0.25">
      <c r="A42" t="s">
        <v>286</v>
      </c>
      <c r="B42" t="s">
        <v>648</v>
      </c>
      <c r="J42">
        <v>10</v>
      </c>
      <c r="W42">
        <v>10</v>
      </c>
    </row>
    <row r="43" spans="1:23" x14ac:dyDescent="0.25">
      <c r="A43" t="s">
        <v>376</v>
      </c>
      <c r="B43" t="s">
        <v>377</v>
      </c>
      <c r="J43">
        <v>30</v>
      </c>
      <c r="O43">
        <v>40</v>
      </c>
      <c r="P43">
        <v>1</v>
      </c>
      <c r="W43">
        <v>71</v>
      </c>
    </row>
    <row r="44" spans="1:23" x14ac:dyDescent="0.25">
      <c r="A44" t="s">
        <v>93</v>
      </c>
      <c r="B44" t="s">
        <v>94</v>
      </c>
      <c r="O44">
        <v>1800</v>
      </c>
      <c r="W44">
        <v>1800</v>
      </c>
    </row>
    <row r="45" spans="1:23" x14ac:dyDescent="0.25">
      <c r="A45" t="s">
        <v>203</v>
      </c>
      <c r="B45" t="s">
        <v>468</v>
      </c>
      <c r="O45">
        <v>96</v>
      </c>
      <c r="R45">
        <v>500</v>
      </c>
      <c r="W45">
        <v>596</v>
      </c>
    </row>
    <row r="46" spans="1:23" x14ac:dyDescent="0.25">
      <c r="A46" t="s">
        <v>17</v>
      </c>
      <c r="B46" t="s">
        <v>647</v>
      </c>
      <c r="I46">
        <v>32</v>
      </c>
      <c r="J46">
        <v>350</v>
      </c>
      <c r="O46">
        <v>560</v>
      </c>
      <c r="R46">
        <v>500</v>
      </c>
      <c r="W46">
        <v>1442</v>
      </c>
    </row>
    <row r="47" spans="1:23" x14ac:dyDescent="0.25">
      <c r="A47" t="s">
        <v>205</v>
      </c>
      <c r="B47" t="s">
        <v>467</v>
      </c>
      <c r="L47">
        <v>150</v>
      </c>
      <c r="R47">
        <v>500</v>
      </c>
      <c r="W47">
        <v>650</v>
      </c>
    </row>
    <row r="48" spans="1:23" x14ac:dyDescent="0.25">
      <c r="A48" t="s">
        <v>199</v>
      </c>
      <c r="B48" t="s">
        <v>200</v>
      </c>
      <c r="O48">
        <v>10</v>
      </c>
      <c r="R48">
        <v>500</v>
      </c>
      <c r="W48">
        <v>510</v>
      </c>
    </row>
    <row r="49" spans="1:23" x14ac:dyDescent="0.25">
      <c r="A49" t="s">
        <v>197</v>
      </c>
      <c r="B49" t="s">
        <v>198</v>
      </c>
      <c r="O49">
        <v>30</v>
      </c>
      <c r="R49">
        <v>500</v>
      </c>
      <c r="W49">
        <v>530</v>
      </c>
    </row>
    <row r="50" spans="1:23" x14ac:dyDescent="0.25">
      <c r="A50" t="s">
        <v>201</v>
      </c>
      <c r="B50" t="s">
        <v>202</v>
      </c>
      <c r="L50">
        <v>400</v>
      </c>
      <c r="R50">
        <v>500</v>
      </c>
      <c r="W50">
        <v>900</v>
      </c>
    </row>
    <row r="51" spans="1:23" x14ac:dyDescent="0.25">
      <c r="A51" t="s">
        <v>23</v>
      </c>
      <c r="B51" t="s">
        <v>24</v>
      </c>
      <c r="R51">
        <v>500</v>
      </c>
      <c r="W51">
        <v>500</v>
      </c>
    </row>
    <row r="52" spans="1:23" x14ac:dyDescent="0.25">
      <c r="A52" t="s">
        <v>300</v>
      </c>
      <c r="B52" t="s">
        <v>301</v>
      </c>
      <c r="E52">
        <v>24</v>
      </c>
      <c r="F52">
        <v>16</v>
      </c>
      <c r="W52">
        <v>40</v>
      </c>
    </row>
    <row r="53" spans="1:23" x14ac:dyDescent="0.25">
      <c r="A53" t="s">
        <v>77</v>
      </c>
      <c r="B53" t="s">
        <v>78</v>
      </c>
      <c r="N53">
        <v>5</v>
      </c>
      <c r="W53">
        <v>5</v>
      </c>
    </row>
    <row r="54" spans="1:23" x14ac:dyDescent="0.25">
      <c r="A54" t="s">
        <v>222</v>
      </c>
      <c r="B54" t="s">
        <v>223</v>
      </c>
      <c r="J54">
        <v>10</v>
      </c>
      <c r="L54">
        <v>200</v>
      </c>
      <c r="W54">
        <v>210</v>
      </c>
    </row>
    <row r="55" spans="1:23" x14ac:dyDescent="0.25">
      <c r="A55" t="s">
        <v>75</v>
      </c>
      <c r="B55" t="s">
        <v>76</v>
      </c>
      <c r="J55">
        <v>100</v>
      </c>
      <c r="N55">
        <v>5</v>
      </c>
      <c r="T55">
        <v>2</v>
      </c>
      <c r="W55">
        <v>107</v>
      </c>
    </row>
    <row r="56" spans="1:23" x14ac:dyDescent="0.25">
      <c r="A56" t="s">
        <v>211</v>
      </c>
      <c r="B56" t="s">
        <v>681</v>
      </c>
      <c r="G56">
        <v>38</v>
      </c>
      <c r="N56">
        <v>2</v>
      </c>
      <c r="W56">
        <v>40</v>
      </c>
    </row>
    <row r="57" spans="1:23" x14ac:dyDescent="0.25">
      <c r="A57" t="s">
        <v>213</v>
      </c>
      <c r="B57" t="s">
        <v>461</v>
      </c>
      <c r="G57">
        <v>59</v>
      </c>
      <c r="W57">
        <v>59</v>
      </c>
    </row>
    <row r="58" spans="1:23" x14ac:dyDescent="0.25">
      <c r="A58" t="s">
        <v>313</v>
      </c>
      <c r="B58" t="s">
        <v>644</v>
      </c>
      <c r="J58">
        <v>50</v>
      </c>
      <c r="N58">
        <v>15</v>
      </c>
      <c r="P58">
        <v>1</v>
      </c>
      <c r="Q58">
        <v>2</v>
      </c>
      <c r="R58">
        <v>400</v>
      </c>
      <c r="V58">
        <v>100</v>
      </c>
      <c r="W58">
        <v>568</v>
      </c>
    </row>
    <row r="59" spans="1:23" x14ac:dyDescent="0.25">
      <c r="A59" t="s">
        <v>312</v>
      </c>
      <c r="B59" t="s">
        <v>584</v>
      </c>
      <c r="J59">
        <v>50</v>
      </c>
      <c r="N59">
        <v>15</v>
      </c>
      <c r="Q59">
        <v>2</v>
      </c>
      <c r="R59">
        <v>400</v>
      </c>
      <c r="V59">
        <v>100</v>
      </c>
      <c r="W59">
        <v>567</v>
      </c>
    </row>
    <row r="60" spans="1:23" x14ac:dyDescent="0.25">
      <c r="A60" t="s">
        <v>340</v>
      </c>
      <c r="B60" t="s">
        <v>668</v>
      </c>
      <c r="J60">
        <v>50</v>
      </c>
      <c r="N60">
        <v>20</v>
      </c>
      <c r="Q60">
        <v>2</v>
      </c>
      <c r="R60">
        <v>700</v>
      </c>
      <c r="V60">
        <v>100</v>
      </c>
      <c r="W60">
        <v>872</v>
      </c>
    </row>
    <row r="61" spans="1:23" x14ac:dyDescent="0.25">
      <c r="A61" t="s">
        <v>315</v>
      </c>
      <c r="B61" t="s">
        <v>581</v>
      </c>
      <c r="J61">
        <v>50</v>
      </c>
      <c r="N61">
        <v>10</v>
      </c>
      <c r="Q61">
        <v>2</v>
      </c>
      <c r="R61">
        <v>200</v>
      </c>
      <c r="V61">
        <v>100</v>
      </c>
      <c r="W61">
        <v>362</v>
      </c>
    </row>
    <row r="62" spans="1:23" x14ac:dyDescent="0.25">
      <c r="A62" t="s">
        <v>332</v>
      </c>
      <c r="B62" t="s">
        <v>333</v>
      </c>
      <c r="R62">
        <v>50</v>
      </c>
      <c r="W62">
        <v>50</v>
      </c>
    </row>
    <row r="63" spans="1:23" x14ac:dyDescent="0.25">
      <c r="A63" t="s">
        <v>101</v>
      </c>
      <c r="B63" t="s">
        <v>560</v>
      </c>
      <c r="N63">
        <v>5</v>
      </c>
      <c r="Q63">
        <v>2</v>
      </c>
      <c r="R63">
        <v>100</v>
      </c>
      <c r="W63">
        <v>107</v>
      </c>
    </row>
    <row r="64" spans="1:23" x14ac:dyDescent="0.25">
      <c r="A64" t="s">
        <v>103</v>
      </c>
      <c r="B64" t="s">
        <v>682</v>
      </c>
      <c r="J64">
        <v>25</v>
      </c>
      <c r="W64">
        <v>25</v>
      </c>
    </row>
    <row r="65" spans="1:23" x14ac:dyDescent="0.25">
      <c r="A65" t="s">
        <v>61</v>
      </c>
      <c r="B65" t="s">
        <v>684</v>
      </c>
      <c r="J65">
        <v>25</v>
      </c>
      <c r="N65">
        <v>5</v>
      </c>
      <c r="R65">
        <v>50</v>
      </c>
      <c r="V65">
        <v>100</v>
      </c>
      <c r="W65">
        <v>180</v>
      </c>
    </row>
    <row r="66" spans="1:23" x14ac:dyDescent="0.25">
      <c r="A66" t="s">
        <v>303</v>
      </c>
      <c r="B66" t="s">
        <v>304</v>
      </c>
      <c r="N66">
        <v>5</v>
      </c>
      <c r="R66">
        <v>200</v>
      </c>
      <c r="W66">
        <v>205</v>
      </c>
    </row>
    <row r="67" spans="1:23" x14ac:dyDescent="0.25">
      <c r="A67" t="s">
        <v>451</v>
      </c>
      <c r="B67" t="s">
        <v>451</v>
      </c>
    </row>
    <row r="68" spans="1:23" x14ac:dyDescent="0.25">
      <c r="A68" t="s">
        <v>454</v>
      </c>
      <c r="B68" t="s">
        <v>455</v>
      </c>
      <c r="K68">
        <v>200</v>
      </c>
      <c r="W68">
        <v>200</v>
      </c>
    </row>
    <row r="69" spans="1:23" x14ac:dyDescent="0.25">
      <c r="A69" t="s">
        <v>458</v>
      </c>
      <c r="B69" t="s">
        <v>459</v>
      </c>
      <c r="F69">
        <v>32</v>
      </c>
      <c r="R69">
        <v>500</v>
      </c>
      <c r="W69">
        <v>532</v>
      </c>
    </row>
    <row r="70" spans="1:23" x14ac:dyDescent="0.25">
      <c r="A70" t="s">
        <v>462</v>
      </c>
      <c r="B70" t="s">
        <v>463</v>
      </c>
      <c r="H70">
        <v>48</v>
      </c>
      <c r="W70">
        <v>48</v>
      </c>
    </row>
    <row r="71" spans="1:23" x14ac:dyDescent="0.25">
      <c r="A71" t="s">
        <v>465</v>
      </c>
      <c r="B71" t="s">
        <v>466</v>
      </c>
      <c r="R71">
        <v>200</v>
      </c>
      <c r="W71">
        <v>200</v>
      </c>
    </row>
    <row r="72" spans="1:23" x14ac:dyDescent="0.25">
      <c r="A72" t="s">
        <v>469</v>
      </c>
      <c r="B72" t="s">
        <v>470</v>
      </c>
      <c r="R72">
        <v>500</v>
      </c>
      <c r="W72">
        <v>500</v>
      </c>
    </row>
    <row r="73" spans="1:23" x14ac:dyDescent="0.25">
      <c r="A73" t="s">
        <v>471</v>
      </c>
      <c r="B73" t="s">
        <v>472</v>
      </c>
      <c r="R73">
        <v>500</v>
      </c>
      <c r="W73">
        <v>500</v>
      </c>
    </row>
    <row r="74" spans="1:23" x14ac:dyDescent="0.25">
      <c r="A74" t="s">
        <v>473</v>
      </c>
      <c r="B74" t="s">
        <v>474</v>
      </c>
      <c r="R74">
        <v>500</v>
      </c>
      <c r="W74">
        <v>500</v>
      </c>
    </row>
    <row r="75" spans="1:23" x14ac:dyDescent="0.25">
      <c r="A75" t="s">
        <v>475</v>
      </c>
      <c r="B75" t="s">
        <v>476</v>
      </c>
      <c r="R75">
        <v>500</v>
      </c>
      <c r="W75">
        <v>500</v>
      </c>
    </row>
    <row r="76" spans="1:23" x14ac:dyDescent="0.25">
      <c r="A76" t="s">
        <v>477</v>
      </c>
      <c r="B76" t="s">
        <v>494</v>
      </c>
      <c r="N76">
        <v>5</v>
      </c>
      <c r="R76">
        <v>300</v>
      </c>
      <c r="W76">
        <v>305</v>
      </c>
    </row>
    <row r="77" spans="1:23" x14ac:dyDescent="0.25">
      <c r="A77" t="s">
        <v>478</v>
      </c>
      <c r="B77" t="s">
        <v>479</v>
      </c>
      <c r="R77">
        <v>50</v>
      </c>
      <c r="W77">
        <v>50</v>
      </c>
    </row>
    <row r="78" spans="1:23" x14ac:dyDescent="0.25">
      <c r="A78" t="s">
        <v>480</v>
      </c>
      <c r="B78" t="s">
        <v>481</v>
      </c>
      <c r="R78">
        <v>40</v>
      </c>
      <c r="W78">
        <v>40</v>
      </c>
    </row>
    <row r="79" spans="1:23" x14ac:dyDescent="0.25">
      <c r="A79" t="s">
        <v>482</v>
      </c>
      <c r="B79" t="s">
        <v>483</v>
      </c>
      <c r="R79">
        <v>50</v>
      </c>
      <c r="W79">
        <v>50</v>
      </c>
    </row>
    <row r="80" spans="1:23" x14ac:dyDescent="0.25">
      <c r="A80" t="s">
        <v>484</v>
      </c>
      <c r="B80" t="s">
        <v>485</v>
      </c>
      <c r="R80">
        <v>40</v>
      </c>
      <c r="W80">
        <v>40</v>
      </c>
    </row>
    <row r="81" spans="1:23" x14ac:dyDescent="0.25">
      <c r="A81" t="s">
        <v>486</v>
      </c>
      <c r="B81" t="s">
        <v>487</v>
      </c>
      <c r="R81">
        <v>20</v>
      </c>
      <c r="W81">
        <v>20</v>
      </c>
    </row>
    <row r="82" spans="1:23" x14ac:dyDescent="0.25">
      <c r="A82" t="s">
        <v>488</v>
      </c>
      <c r="B82" t="s">
        <v>489</v>
      </c>
      <c r="R82">
        <v>20</v>
      </c>
      <c r="W82">
        <v>20</v>
      </c>
    </row>
    <row r="83" spans="1:23" x14ac:dyDescent="0.25">
      <c r="A83" t="s">
        <v>490</v>
      </c>
      <c r="B83" t="s">
        <v>491</v>
      </c>
      <c r="R83">
        <v>20</v>
      </c>
      <c r="W83">
        <v>20</v>
      </c>
    </row>
    <row r="84" spans="1:23" x14ac:dyDescent="0.25">
      <c r="A84" t="s">
        <v>492</v>
      </c>
      <c r="B84" t="s">
        <v>493</v>
      </c>
      <c r="R84">
        <v>20</v>
      </c>
      <c r="W84">
        <v>20</v>
      </c>
    </row>
    <row r="85" spans="1:23" x14ac:dyDescent="0.25">
      <c r="A85" t="s">
        <v>495</v>
      </c>
      <c r="B85" t="s">
        <v>496</v>
      </c>
      <c r="I85">
        <v>14</v>
      </c>
      <c r="P85">
        <v>1</v>
      </c>
      <c r="T85">
        <v>2</v>
      </c>
      <c r="W85">
        <v>17</v>
      </c>
    </row>
    <row r="86" spans="1:23" x14ac:dyDescent="0.25">
      <c r="A86" t="s">
        <v>497</v>
      </c>
      <c r="B86" t="s">
        <v>498</v>
      </c>
      <c r="I86">
        <v>34</v>
      </c>
      <c r="W86">
        <v>34</v>
      </c>
    </row>
    <row r="87" spans="1:23" x14ac:dyDescent="0.25">
      <c r="A87" t="s">
        <v>499</v>
      </c>
      <c r="B87" t="s">
        <v>639</v>
      </c>
      <c r="I87">
        <v>15</v>
      </c>
      <c r="J87">
        <v>50</v>
      </c>
      <c r="N87">
        <v>1</v>
      </c>
      <c r="P87">
        <v>4</v>
      </c>
      <c r="W87">
        <v>70</v>
      </c>
    </row>
    <row r="88" spans="1:23" x14ac:dyDescent="0.25">
      <c r="A88" t="s">
        <v>500</v>
      </c>
      <c r="B88" t="s">
        <v>593</v>
      </c>
      <c r="I88">
        <v>18</v>
      </c>
      <c r="N88">
        <v>2</v>
      </c>
      <c r="P88">
        <v>7</v>
      </c>
      <c r="W88">
        <v>27</v>
      </c>
    </row>
    <row r="89" spans="1:23" x14ac:dyDescent="0.25">
      <c r="A89" t="s">
        <v>501</v>
      </c>
      <c r="B89" t="s">
        <v>638</v>
      </c>
      <c r="I89">
        <v>18</v>
      </c>
      <c r="N89">
        <v>2</v>
      </c>
      <c r="P89">
        <v>7</v>
      </c>
      <c r="W89">
        <v>27</v>
      </c>
    </row>
    <row r="90" spans="1:23" x14ac:dyDescent="0.25">
      <c r="A90" t="s">
        <v>502</v>
      </c>
      <c r="B90" t="s">
        <v>662</v>
      </c>
      <c r="I90">
        <v>4</v>
      </c>
      <c r="N90">
        <v>2</v>
      </c>
      <c r="W90">
        <v>6</v>
      </c>
    </row>
    <row r="91" spans="1:23" x14ac:dyDescent="0.25">
      <c r="A91" t="s">
        <v>503</v>
      </c>
      <c r="B91" t="s">
        <v>663</v>
      </c>
      <c r="I91">
        <v>3</v>
      </c>
      <c r="N91">
        <v>2</v>
      </c>
      <c r="W91">
        <v>5</v>
      </c>
    </row>
    <row r="92" spans="1:23" x14ac:dyDescent="0.25">
      <c r="A92" t="s">
        <v>513</v>
      </c>
      <c r="B92" t="s">
        <v>676</v>
      </c>
      <c r="N92">
        <v>5</v>
      </c>
      <c r="R92">
        <v>200</v>
      </c>
      <c r="W92">
        <v>205</v>
      </c>
    </row>
    <row r="93" spans="1:23" x14ac:dyDescent="0.25">
      <c r="A93" t="s">
        <v>514</v>
      </c>
      <c r="B93" t="s">
        <v>677</v>
      </c>
      <c r="N93">
        <v>5</v>
      </c>
      <c r="R93">
        <v>200</v>
      </c>
      <c r="W93">
        <v>205</v>
      </c>
    </row>
    <row r="94" spans="1:23" x14ac:dyDescent="0.25">
      <c r="A94" t="s">
        <v>515</v>
      </c>
      <c r="B94" t="s">
        <v>586</v>
      </c>
      <c r="J94">
        <v>25</v>
      </c>
      <c r="N94">
        <v>5</v>
      </c>
      <c r="R94">
        <v>100</v>
      </c>
      <c r="W94">
        <v>130</v>
      </c>
    </row>
    <row r="95" spans="1:23" x14ac:dyDescent="0.25">
      <c r="A95" t="s">
        <v>516</v>
      </c>
      <c r="B95" t="s">
        <v>674</v>
      </c>
      <c r="L95">
        <v>2000</v>
      </c>
      <c r="N95">
        <v>5</v>
      </c>
      <c r="R95">
        <v>300</v>
      </c>
      <c r="W95">
        <v>2305</v>
      </c>
    </row>
    <row r="96" spans="1:23" x14ac:dyDescent="0.25">
      <c r="A96" t="s">
        <v>517</v>
      </c>
      <c r="B96" t="s">
        <v>591</v>
      </c>
      <c r="L96">
        <v>1580</v>
      </c>
      <c r="N96">
        <v>5</v>
      </c>
      <c r="R96">
        <v>300</v>
      </c>
      <c r="W96">
        <v>1885</v>
      </c>
    </row>
    <row r="97" spans="1:23" x14ac:dyDescent="0.25">
      <c r="A97" t="s">
        <v>518</v>
      </c>
      <c r="B97" t="s">
        <v>592</v>
      </c>
      <c r="J97">
        <v>25</v>
      </c>
      <c r="W97">
        <v>25</v>
      </c>
    </row>
    <row r="98" spans="1:23" x14ac:dyDescent="0.25">
      <c r="A98" t="s">
        <v>507</v>
      </c>
      <c r="B98" t="s">
        <v>508</v>
      </c>
      <c r="J98">
        <v>300</v>
      </c>
      <c r="W98">
        <v>300</v>
      </c>
    </row>
    <row r="99" spans="1:23" x14ac:dyDescent="0.25">
      <c r="A99" t="s">
        <v>509</v>
      </c>
      <c r="B99" t="s">
        <v>510</v>
      </c>
      <c r="J99">
        <v>50</v>
      </c>
      <c r="W99">
        <v>50</v>
      </c>
    </row>
    <row r="100" spans="1:23" x14ac:dyDescent="0.25">
      <c r="A100" t="s">
        <v>511</v>
      </c>
      <c r="B100" t="s">
        <v>672</v>
      </c>
      <c r="J100">
        <v>201</v>
      </c>
      <c r="W100">
        <v>201</v>
      </c>
    </row>
    <row r="101" spans="1:23" x14ac:dyDescent="0.25">
      <c r="A101" t="s">
        <v>520</v>
      </c>
      <c r="B101" t="s">
        <v>521</v>
      </c>
      <c r="L101">
        <v>200</v>
      </c>
      <c r="W101">
        <v>200</v>
      </c>
    </row>
    <row r="102" spans="1:23" x14ac:dyDescent="0.25">
      <c r="A102" t="s">
        <v>522</v>
      </c>
      <c r="B102" t="s">
        <v>523</v>
      </c>
      <c r="L102">
        <v>200</v>
      </c>
      <c r="W102">
        <v>200</v>
      </c>
    </row>
    <row r="103" spans="1:23" x14ac:dyDescent="0.25">
      <c r="A103" t="s">
        <v>524</v>
      </c>
      <c r="B103" t="s">
        <v>525</v>
      </c>
      <c r="L103">
        <v>200</v>
      </c>
      <c r="W103">
        <v>200</v>
      </c>
    </row>
    <row r="104" spans="1:23" x14ac:dyDescent="0.25">
      <c r="A104" t="s">
        <v>526</v>
      </c>
      <c r="B104" t="s">
        <v>527</v>
      </c>
      <c r="L104">
        <v>420</v>
      </c>
      <c r="W104">
        <v>420</v>
      </c>
    </row>
    <row r="105" spans="1:23" x14ac:dyDescent="0.25">
      <c r="A105" t="s">
        <v>528</v>
      </c>
      <c r="B105" t="s">
        <v>529</v>
      </c>
      <c r="L105">
        <v>293</v>
      </c>
      <c r="W105">
        <v>293</v>
      </c>
    </row>
    <row r="106" spans="1:23" x14ac:dyDescent="0.25">
      <c r="A106" t="s">
        <v>530</v>
      </c>
      <c r="B106" t="s">
        <v>531</v>
      </c>
      <c r="L106">
        <v>100</v>
      </c>
      <c r="W106">
        <v>100</v>
      </c>
    </row>
    <row r="107" spans="1:23" x14ac:dyDescent="0.25">
      <c r="A107" t="s">
        <v>532</v>
      </c>
      <c r="B107" t="s">
        <v>533</v>
      </c>
      <c r="L107">
        <v>100</v>
      </c>
      <c r="W107">
        <v>100</v>
      </c>
    </row>
    <row r="108" spans="1:23" x14ac:dyDescent="0.25">
      <c r="A108" t="s">
        <v>534</v>
      </c>
      <c r="B108" t="s">
        <v>535</v>
      </c>
      <c r="L108">
        <v>150</v>
      </c>
      <c r="W108">
        <v>150</v>
      </c>
    </row>
    <row r="109" spans="1:23" x14ac:dyDescent="0.25">
      <c r="A109" t="s">
        <v>537</v>
      </c>
      <c r="B109" t="s">
        <v>538</v>
      </c>
      <c r="M109">
        <v>5</v>
      </c>
      <c r="W109">
        <v>5</v>
      </c>
    </row>
    <row r="110" spans="1:23" x14ac:dyDescent="0.25">
      <c r="A110" t="s">
        <v>539</v>
      </c>
      <c r="B110" t="s">
        <v>650</v>
      </c>
      <c r="M110">
        <v>5</v>
      </c>
      <c r="W110">
        <v>5</v>
      </c>
    </row>
    <row r="111" spans="1:23" x14ac:dyDescent="0.25">
      <c r="A111" t="s">
        <v>540</v>
      </c>
      <c r="B111" t="s">
        <v>541</v>
      </c>
      <c r="M111">
        <v>5</v>
      </c>
      <c r="W111">
        <v>5</v>
      </c>
    </row>
    <row r="112" spans="1:23" x14ac:dyDescent="0.25">
      <c r="A112" t="s">
        <v>542</v>
      </c>
      <c r="B112" t="s">
        <v>646</v>
      </c>
      <c r="M112">
        <v>5</v>
      </c>
      <c r="P112">
        <v>1</v>
      </c>
      <c r="W112">
        <v>6</v>
      </c>
    </row>
    <row r="113" spans="1:23" x14ac:dyDescent="0.25">
      <c r="A113" t="s">
        <v>543</v>
      </c>
      <c r="B113" t="s">
        <v>544</v>
      </c>
      <c r="M113">
        <v>5</v>
      </c>
      <c r="W113">
        <v>5</v>
      </c>
    </row>
    <row r="114" spans="1:23" x14ac:dyDescent="0.25">
      <c r="A114" t="s">
        <v>545</v>
      </c>
      <c r="B114" t="s">
        <v>546</v>
      </c>
      <c r="M114">
        <v>5</v>
      </c>
      <c r="W114">
        <v>5</v>
      </c>
    </row>
    <row r="115" spans="1:23" x14ac:dyDescent="0.25">
      <c r="A115" t="s">
        <v>548</v>
      </c>
      <c r="B115" t="s">
        <v>615</v>
      </c>
      <c r="N115">
        <v>6</v>
      </c>
      <c r="P115">
        <v>7</v>
      </c>
      <c r="U115">
        <v>1</v>
      </c>
      <c r="W115">
        <v>14</v>
      </c>
    </row>
    <row r="116" spans="1:23" x14ac:dyDescent="0.25">
      <c r="A116" t="s">
        <v>549</v>
      </c>
      <c r="B116" t="s">
        <v>550</v>
      </c>
      <c r="N116">
        <v>2</v>
      </c>
      <c r="W116">
        <v>2</v>
      </c>
    </row>
    <row r="117" spans="1:23" x14ac:dyDescent="0.25">
      <c r="A117" t="s">
        <v>551</v>
      </c>
      <c r="B117" t="s">
        <v>552</v>
      </c>
      <c r="N117">
        <v>1</v>
      </c>
      <c r="W117">
        <v>1</v>
      </c>
    </row>
    <row r="118" spans="1:23" x14ac:dyDescent="0.25">
      <c r="A118" t="s">
        <v>553</v>
      </c>
      <c r="B118" t="s">
        <v>284</v>
      </c>
      <c r="N118">
        <v>1</v>
      </c>
      <c r="W118">
        <v>1</v>
      </c>
    </row>
    <row r="119" spans="1:23" x14ac:dyDescent="0.25">
      <c r="A119" t="s">
        <v>554</v>
      </c>
      <c r="B119" t="s">
        <v>594</v>
      </c>
      <c r="N119">
        <v>1</v>
      </c>
      <c r="W119">
        <v>1</v>
      </c>
    </row>
    <row r="120" spans="1:23" x14ac:dyDescent="0.25">
      <c r="A120" t="s">
        <v>555</v>
      </c>
      <c r="B120" t="s">
        <v>642</v>
      </c>
      <c r="N120">
        <v>1</v>
      </c>
      <c r="W120">
        <v>1</v>
      </c>
    </row>
    <row r="121" spans="1:23" x14ac:dyDescent="0.25">
      <c r="A121" t="s">
        <v>556</v>
      </c>
      <c r="B121" t="s">
        <v>678</v>
      </c>
      <c r="N121">
        <v>1</v>
      </c>
      <c r="W121">
        <v>1</v>
      </c>
    </row>
    <row r="122" spans="1:23" x14ac:dyDescent="0.25">
      <c r="A122" t="s">
        <v>557</v>
      </c>
      <c r="B122" t="s">
        <v>679</v>
      </c>
      <c r="N122">
        <v>1</v>
      </c>
      <c r="W122">
        <v>1</v>
      </c>
    </row>
    <row r="123" spans="1:23" x14ac:dyDescent="0.25">
      <c r="A123" t="s">
        <v>558</v>
      </c>
      <c r="B123" t="s">
        <v>595</v>
      </c>
      <c r="N123">
        <v>2</v>
      </c>
      <c r="W123">
        <v>2</v>
      </c>
    </row>
    <row r="124" spans="1:23" x14ac:dyDescent="0.25">
      <c r="A124" t="s">
        <v>561</v>
      </c>
      <c r="B124" t="s">
        <v>562</v>
      </c>
      <c r="T124">
        <v>2</v>
      </c>
      <c r="W124">
        <v>2</v>
      </c>
    </row>
    <row r="125" spans="1:23" x14ac:dyDescent="0.25">
      <c r="A125">
        <v>571</v>
      </c>
      <c r="B125" t="s">
        <v>563</v>
      </c>
      <c r="U125">
        <v>20</v>
      </c>
      <c r="W125">
        <v>20</v>
      </c>
    </row>
    <row r="126" spans="1:23" x14ac:dyDescent="0.25">
      <c r="A126" t="s">
        <v>564</v>
      </c>
      <c r="B126" t="s">
        <v>565</v>
      </c>
      <c r="U126">
        <v>2</v>
      </c>
      <c r="W126">
        <v>2</v>
      </c>
    </row>
    <row r="127" spans="1:23" x14ac:dyDescent="0.25">
      <c r="A127">
        <v>304</v>
      </c>
      <c r="B127" t="s">
        <v>566</v>
      </c>
      <c r="O127">
        <v>20</v>
      </c>
      <c r="W127">
        <v>20</v>
      </c>
    </row>
    <row r="128" spans="1:23" x14ac:dyDescent="0.25">
      <c r="A128">
        <v>310</v>
      </c>
      <c r="B128" t="s">
        <v>567</v>
      </c>
      <c r="O128">
        <v>10</v>
      </c>
      <c r="W128">
        <v>10</v>
      </c>
    </row>
    <row r="129" spans="1:23" x14ac:dyDescent="0.25">
      <c r="A129" t="s">
        <v>568</v>
      </c>
      <c r="B129" t="s">
        <v>618</v>
      </c>
      <c r="O129">
        <v>16</v>
      </c>
      <c r="P129">
        <v>6</v>
      </c>
      <c r="W129">
        <v>22</v>
      </c>
    </row>
    <row r="130" spans="1:23" x14ac:dyDescent="0.25">
      <c r="A130" t="s">
        <v>569</v>
      </c>
      <c r="B130" t="s">
        <v>570</v>
      </c>
      <c r="O130">
        <v>450</v>
      </c>
      <c r="W130">
        <v>450</v>
      </c>
    </row>
    <row r="131" spans="1:23" x14ac:dyDescent="0.25">
      <c r="A131" t="s">
        <v>571</v>
      </c>
      <c r="B131" t="s">
        <v>572</v>
      </c>
      <c r="O131">
        <v>400</v>
      </c>
      <c r="W131">
        <v>400</v>
      </c>
    </row>
    <row r="132" spans="1:23" x14ac:dyDescent="0.25">
      <c r="A132" t="s">
        <v>573</v>
      </c>
      <c r="B132" t="s">
        <v>574</v>
      </c>
      <c r="O132">
        <v>200</v>
      </c>
      <c r="W132">
        <v>200</v>
      </c>
    </row>
    <row r="133" spans="1:23" x14ac:dyDescent="0.25">
      <c r="A133" t="s">
        <v>576</v>
      </c>
      <c r="B133" t="s">
        <v>577</v>
      </c>
      <c r="O133">
        <v>560</v>
      </c>
      <c r="W133">
        <v>560</v>
      </c>
    </row>
    <row r="134" spans="1:23" x14ac:dyDescent="0.25">
      <c r="A134" t="s">
        <v>578</v>
      </c>
      <c r="B134" t="s">
        <v>579</v>
      </c>
      <c r="O134">
        <v>90</v>
      </c>
      <c r="W134">
        <v>90</v>
      </c>
    </row>
    <row r="135" spans="1:23" x14ac:dyDescent="0.25">
      <c r="A135" t="s">
        <v>597</v>
      </c>
      <c r="B135" t="s">
        <v>612</v>
      </c>
      <c r="P135">
        <v>2</v>
      </c>
      <c r="W135">
        <v>2</v>
      </c>
    </row>
    <row r="136" spans="1:23" x14ac:dyDescent="0.25">
      <c r="A136" t="s">
        <v>598</v>
      </c>
      <c r="B136" t="s">
        <v>599</v>
      </c>
      <c r="P136">
        <v>1</v>
      </c>
      <c r="W136">
        <v>1</v>
      </c>
    </row>
    <row r="137" spans="1:23" x14ac:dyDescent="0.25">
      <c r="A137" t="s">
        <v>600</v>
      </c>
      <c r="B137" t="s">
        <v>601</v>
      </c>
      <c r="P137">
        <v>1</v>
      </c>
      <c r="W137">
        <v>1</v>
      </c>
    </row>
    <row r="138" spans="1:23" x14ac:dyDescent="0.25">
      <c r="A138" t="s">
        <v>602</v>
      </c>
      <c r="B138" t="s">
        <v>616</v>
      </c>
      <c r="P138">
        <v>7</v>
      </c>
      <c r="W138">
        <v>7</v>
      </c>
    </row>
    <row r="139" spans="1:23" x14ac:dyDescent="0.25">
      <c r="A139" t="s">
        <v>410</v>
      </c>
      <c r="B139" t="s">
        <v>617</v>
      </c>
      <c r="D139">
        <v>20</v>
      </c>
      <c r="P139">
        <v>7</v>
      </c>
      <c r="W139">
        <v>27</v>
      </c>
    </row>
    <row r="140" spans="1:23" x14ac:dyDescent="0.25">
      <c r="A140" t="s">
        <v>603</v>
      </c>
      <c r="B140" t="s">
        <v>604</v>
      </c>
      <c r="P140">
        <v>12</v>
      </c>
      <c r="W140">
        <v>12</v>
      </c>
    </row>
    <row r="141" spans="1:23" x14ac:dyDescent="0.25">
      <c r="A141" t="s">
        <v>45</v>
      </c>
      <c r="B141" t="s">
        <v>46</v>
      </c>
      <c r="P141">
        <v>1</v>
      </c>
      <c r="W141">
        <v>1</v>
      </c>
    </row>
    <row r="142" spans="1:23" x14ac:dyDescent="0.25">
      <c r="A142" t="s">
        <v>605</v>
      </c>
      <c r="B142" t="s">
        <v>606</v>
      </c>
      <c r="P142">
        <v>10</v>
      </c>
      <c r="W142">
        <v>10</v>
      </c>
    </row>
    <row r="143" spans="1:23" x14ac:dyDescent="0.25">
      <c r="A143" t="s">
        <v>175</v>
      </c>
      <c r="B143" t="s">
        <v>176</v>
      </c>
      <c r="P143">
        <v>2</v>
      </c>
      <c r="W143">
        <v>2</v>
      </c>
    </row>
    <row r="144" spans="1:23" x14ac:dyDescent="0.25">
      <c r="A144" t="s">
        <v>29</v>
      </c>
      <c r="B144" t="s">
        <v>30</v>
      </c>
      <c r="P144">
        <v>1</v>
      </c>
      <c r="W144">
        <v>1</v>
      </c>
    </row>
    <row r="145" spans="1:23" x14ac:dyDescent="0.25">
      <c r="B145" t="s">
        <v>687</v>
      </c>
      <c r="D145">
        <v>20</v>
      </c>
      <c r="W145">
        <v>20</v>
      </c>
    </row>
    <row r="146" spans="1:23" x14ac:dyDescent="0.25">
      <c r="A146" t="s">
        <v>607</v>
      </c>
      <c r="B146" t="s">
        <v>608</v>
      </c>
      <c r="P146">
        <v>1</v>
      </c>
      <c r="W146">
        <v>1</v>
      </c>
    </row>
    <row r="147" spans="1:23" x14ac:dyDescent="0.25">
      <c r="A147" t="s">
        <v>181</v>
      </c>
      <c r="B147" t="s">
        <v>619</v>
      </c>
      <c r="P147">
        <v>5</v>
      </c>
      <c r="W147">
        <v>5</v>
      </c>
    </row>
    <row r="148" spans="1:23" x14ac:dyDescent="0.25">
      <c r="A148" t="s">
        <v>609</v>
      </c>
      <c r="B148" t="s">
        <v>643</v>
      </c>
      <c r="P148">
        <v>1</v>
      </c>
      <c r="W148">
        <v>1</v>
      </c>
    </row>
    <row r="149" spans="1:23" x14ac:dyDescent="0.25">
      <c r="A149" t="s">
        <v>610</v>
      </c>
      <c r="B149" t="s">
        <v>640</v>
      </c>
      <c r="P149">
        <v>1</v>
      </c>
      <c r="W149">
        <v>1</v>
      </c>
    </row>
    <row r="150" spans="1:23" x14ac:dyDescent="0.25">
      <c r="A150" t="s">
        <v>611</v>
      </c>
      <c r="B150" t="s">
        <v>664</v>
      </c>
      <c r="P150">
        <v>1</v>
      </c>
      <c r="W150">
        <v>1</v>
      </c>
    </row>
    <row r="151" spans="1:23" x14ac:dyDescent="0.25">
      <c r="A151" t="s">
        <v>614</v>
      </c>
      <c r="B151" t="s">
        <v>665</v>
      </c>
      <c r="P151">
        <v>2</v>
      </c>
      <c r="W151">
        <v>2</v>
      </c>
    </row>
    <row r="152" spans="1:23" x14ac:dyDescent="0.25">
      <c r="A152" t="s">
        <v>83</v>
      </c>
      <c r="B152" t="s">
        <v>620</v>
      </c>
      <c r="P152">
        <v>2</v>
      </c>
      <c r="W152">
        <v>2</v>
      </c>
    </row>
    <row r="153" spans="1:23" x14ac:dyDescent="0.25">
      <c r="A153" t="s">
        <v>621</v>
      </c>
      <c r="B153" t="s">
        <v>641</v>
      </c>
      <c r="P153">
        <v>1</v>
      </c>
      <c r="W153">
        <v>1</v>
      </c>
    </row>
    <row r="154" spans="1:23" x14ac:dyDescent="0.25">
      <c r="A154" t="s">
        <v>622</v>
      </c>
      <c r="B154" t="s">
        <v>666</v>
      </c>
      <c r="P154">
        <v>3</v>
      </c>
      <c r="W154">
        <v>3</v>
      </c>
    </row>
    <row r="155" spans="1:23" x14ac:dyDescent="0.25">
      <c r="A155" t="s">
        <v>623</v>
      </c>
      <c r="B155" t="s">
        <v>624</v>
      </c>
      <c r="P155">
        <v>1</v>
      </c>
      <c r="W155">
        <v>1</v>
      </c>
    </row>
    <row r="156" spans="1:23" x14ac:dyDescent="0.25">
      <c r="A156" t="s">
        <v>626</v>
      </c>
      <c r="B156" t="s">
        <v>627</v>
      </c>
      <c r="P156">
        <v>1</v>
      </c>
      <c r="W156">
        <v>1</v>
      </c>
    </row>
    <row r="157" spans="1:23" x14ac:dyDescent="0.25">
      <c r="A157" t="s">
        <v>629</v>
      </c>
      <c r="B157" t="s">
        <v>630</v>
      </c>
      <c r="P157">
        <v>1</v>
      </c>
      <c r="W157">
        <v>1</v>
      </c>
    </row>
    <row r="158" spans="1:23" x14ac:dyDescent="0.25">
      <c r="A158" t="s">
        <v>81</v>
      </c>
      <c r="B158" t="s">
        <v>631</v>
      </c>
      <c r="P158">
        <v>1</v>
      </c>
      <c r="W158">
        <v>1</v>
      </c>
    </row>
    <row r="159" spans="1:23" x14ac:dyDescent="0.25">
      <c r="A159" t="s">
        <v>423</v>
      </c>
      <c r="B159" t="s">
        <v>424</v>
      </c>
      <c r="P159">
        <v>1</v>
      </c>
      <c r="W159">
        <v>1</v>
      </c>
    </row>
    <row r="160" spans="1:23" x14ac:dyDescent="0.25">
      <c r="A160" t="s">
        <v>73</v>
      </c>
      <c r="B160" t="s">
        <v>632</v>
      </c>
      <c r="P160">
        <v>1</v>
      </c>
      <c r="W160">
        <v>1</v>
      </c>
    </row>
    <row r="161" spans="1:23" x14ac:dyDescent="0.25">
      <c r="A161" t="s">
        <v>633</v>
      </c>
      <c r="B161" t="s">
        <v>634</v>
      </c>
      <c r="P161">
        <v>1</v>
      </c>
      <c r="W161">
        <v>1</v>
      </c>
    </row>
    <row r="162" spans="1:23" x14ac:dyDescent="0.25">
      <c r="A162" t="s">
        <v>635</v>
      </c>
      <c r="B162" t="s">
        <v>636</v>
      </c>
      <c r="P162">
        <v>1</v>
      </c>
      <c r="W162">
        <v>1</v>
      </c>
    </row>
    <row r="163" spans="1:23" x14ac:dyDescent="0.25">
      <c r="A163" t="s">
        <v>652</v>
      </c>
      <c r="B163" t="s">
        <v>653</v>
      </c>
      <c r="S163">
        <v>252</v>
      </c>
      <c r="W163">
        <v>252</v>
      </c>
    </row>
    <row r="164" spans="1:23" x14ac:dyDescent="0.25">
      <c r="A164" t="s">
        <v>654</v>
      </c>
      <c r="B164" t="s">
        <v>655</v>
      </c>
      <c r="S164">
        <v>60</v>
      </c>
      <c r="W164">
        <v>60</v>
      </c>
    </row>
    <row r="165" spans="1:23" x14ac:dyDescent="0.25">
      <c r="A165" t="s">
        <v>656</v>
      </c>
      <c r="B165" t="s">
        <v>657</v>
      </c>
      <c r="S165">
        <v>20</v>
      </c>
      <c r="W165">
        <v>20</v>
      </c>
    </row>
    <row r="166" spans="1:23" x14ac:dyDescent="0.25">
      <c r="A166" t="s">
        <v>658</v>
      </c>
      <c r="B166" t="s">
        <v>659</v>
      </c>
      <c r="S166">
        <v>52</v>
      </c>
      <c r="W166">
        <v>52</v>
      </c>
    </row>
    <row r="167" spans="1:23" x14ac:dyDescent="0.25">
      <c r="A167" t="s">
        <v>685</v>
      </c>
      <c r="B167" t="s">
        <v>586</v>
      </c>
      <c r="V167">
        <v>100</v>
      </c>
      <c r="W167">
        <v>100</v>
      </c>
    </row>
    <row r="168" spans="1:23" x14ac:dyDescent="0.25">
      <c r="A168" t="s">
        <v>688</v>
      </c>
      <c r="B168" t="s">
        <v>689</v>
      </c>
      <c r="D168">
        <v>20</v>
      </c>
      <c r="W168">
        <v>20</v>
      </c>
    </row>
    <row r="169" spans="1:23" x14ac:dyDescent="0.25">
      <c r="A169" t="s">
        <v>452</v>
      </c>
      <c r="D169">
        <v>80</v>
      </c>
      <c r="E169">
        <v>24</v>
      </c>
      <c r="F169">
        <v>48</v>
      </c>
      <c r="G169">
        <v>97</v>
      </c>
      <c r="H169">
        <v>48</v>
      </c>
      <c r="I169">
        <v>288</v>
      </c>
      <c r="J169">
        <v>2401</v>
      </c>
      <c r="K169">
        <v>200</v>
      </c>
      <c r="L169">
        <v>8600</v>
      </c>
      <c r="M169">
        <v>30</v>
      </c>
      <c r="N169">
        <v>197</v>
      </c>
      <c r="O169">
        <v>4700</v>
      </c>
      <c r="P169">
        <v>119</v>
      </c>
      <c r="Q169">
        <v>18</v>
      </c>
      <c r="R169">
        <v>12860</v>
      </c>
      <c r="S169">
        <v>384</v>
      </c>
      <c r="T169">
        <v>14</v>
      </c>
      <c r="U169">
        <v>31</v>
      </c>
      <c r="V169">
        <v>1000</v>
      </c>
      <c r="W169">
        <v>31139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0851-5399-48A0-80DA-EA3CA6C89725}">
  <sheetPr filterMode="1">
    <tabColor rgb="FF00B050"/>
  </sheetPr>
  <dimension ref="A1:F389"/>
  <sheetViews>
    <sheetView workbookViewId="0">
      <selection activeCell="D394" sqref="D394"/>
    </sheetView>
  </sheetViews>
  <sheetFormatPr defaultRowHeight="15" x14ac:dyDescent="0.25"/>
  <cols>
    <col min="1" max="1" width="18.28515625" style="120" bestFit="1" customWidth="1"/>
    <col min="2" max="2" width="5" style="120" bestFit="1" customWidth="1"/>
    <col min="3" max="3" width="20.42578125" style="129" bestFit="1" customWidth="1"/>
    <col min="4" max="4" width="76.140625" style="129" bestFit="1" customWidth="1"/>
    <col min="5" max="5" width="5.140625" style="129" bestFit="1" customWidth="1"/>
    <col min="6" max="6" width="13.140625" style="120" customWidth="1"/>
  </cols>
  <sheetData>
    <row r="1" spans="1:6" x14ac:dyDescent="0.25">
      <c r="A1" s="62" t="s">
        <v>450</v>
      </c>
      <c r="B1" s="122" t="s">
        <v>445</v>
      </c>
      <c r="C1" s="127" t="s">
        <v>446</v>
      </c>
      <c r="D1" s="132" t="s">
        <v>447</v>
      </c>
      <c r="E1" s="131" t="s">
        <v>448</v>
      </c>
      <c r="F1" s="34" t="s">
        <v>449</v>
      </c>
    </row>
    <row r="2" spans="1:6" hidden="1" x14ac:dyDescent="0.25">
      <c r="A2" s="62" t="s">
        <v>457</v>
      </c>
      <c r="B2" s="123">
        <v>6638</v>
      </c>
      <c r="C2" s="49" t="s">
        <v>300</v>
      </c>
      <c r="D2" s="49" t="s">
        <v>301</v>
      </c>
      <c r="E2" s="50">
        <v>24</v>
      </c>
      <c r="F2" s="117" t="s">
        <v>456</v>
      </c>
    </row>
    <row r="3" spans="1:6" hidden="1" x14ac:dyDescent="0.25">
      <c r="A3" s="74" t="s">
        <v>460</v>
      </c>
      <c r="B3" s="124">
        <v>6773</v>
      </c>
      <c r="C3" s="49" t="s">
        <v>300</v>
      </c>
      <c r="D3" s="49" t="s">
        <v>301</v>
      </c>
      <c r="E3" s="50">
        <v>16</v>
      </c>
      <c r="F3" s="117" t="s">
        <v>456</v>
      </c>
    </row>
    <row r="4" spans="1:6" hidden="1" x14ac:dyDescent="0.25">
      <c r="A4" s="74" t="s">
        <v>460</v>
      </c>
      <c r="B4" s="124">
        <v>6773</v>
      </c>
      <c r="C4" s="49" t="s">
        <v>458</v>
      </c>
      <c r="D4" s="49" t="s">
        <v>459</v>
      </c>
      <c r="E4" s="64">
        <v>32</v>
      </c>
      <c r="F4" s="117" t="s">
        <v>456</v>
      </c>
    </row>
    <row r="5" spans="1:6" hidden="1" x14ac:dyDescent="0.25">
      <c r="A5" s="74" t="s">
        <v>464</v>
      </c>
      <c r="B5" s="124">
        <v>6583</v>
      </c>
      <c r="C5" s="49" t="s">
        <v>211</v>
      </c>
      <c r="D5" s="49" t="s">
        <v>681</v>
      </c>
      <c r="E5" s="64">
        <v>38</v>
      </c>
      <c r="F5" s="117" t="s">
        <v>456</v>
      </c>
    </row>
    <row r="6" spans="1:6" hidden="1" x14ac:dyDescent="0.25">
      <c r="A6" s="74" t="s">
        <v>464</v>
      </c>
      <c r="B6" s="124">
        <v>6583</v>
      </c>
      <c r="C6" s="49" t="s">
        <v>213</v>
      </c>
      <c r="D6" s="49" t="s">
        <v>461</v>
      </c>
      <c r="E6" s="64">
        <v>59</v>
      </c>
      <c r="F6" s="117" t="s">
        <v>456</v>
      </c>
    </row>
    <row r="7" spans="1:6" hidden="1" x14ac:dyDescent="0.25">
      <c r="A7" s="74" t="s">
        <v>464</v>
      </c>
      <c r="B7" s="124">
        <v>7159</v>
      </c>
      <c r="C7" s="49" t="s">
        <v>462</v>
      </c>
      <c r="D7" s="49" t="s">
        <v>463</v>
      </c>
      <c r="E7" s="50">
        <v>48</v>
      </c>
      <c r="F7" s="117" t="s">
        <v>456</v>
      </c>
    </row>
    <row r="8" spans="1:6" hidden="1" x14ac:dyDescent="0.25">
      <c r="A8" s="74" t="s">
        <v>504</v>
      </c>
      <c r="B8" s="124">
        <v>8765</v>
      </c>
      <c r="C8" s="49" t="s">
        <v>51</v>
      </c>
      <c r="D8" s="49" t="s">
        <v>582</v>
      </c>
      <c r="E8" s="64">
        <v>36</v>
      </c>
      <c r="F8" s="116">
        <v>46316</v>
      </c>
    </row>
    <row r="9" spans="1:6" hidden="1" x14ac:dyDescent="0.25">
      <c r="A9" s="74" t="s">
        <v>504</v>
      </c>
      <c r="B9" s="124">
        <v>8765</v>
      </c>
      <c r="C9" s="49" t="s">
        <v>163</v>
      </c>
      <c r="D9" s="49" t="s">
        <v>613</v>
      </c>
      <c r="E9" s="50">
        <v>36</v>
      </c>
      <c r="F9" s="116">
        <v>46316</v>
      </c>
    </row>
    <row r="10" spans="1:6" hidden="1" x14ac:dyDescent="0.25">
      <c r="A10" s="74" t="s">
        <v>504</v>
      </c>
      <c r="B10" s="124">
        <v>8765</v>
      </c>
      <c r="C10" s="49" t="s">
        <v>17</v>
      </c>
      <c r="D10" s="49" t="s">
        <v>647</v>
      </c>
      <c r="E10" s="50">
        <v>32</v>
      </c>
      <c r="F10" s="116">
        <v>46316</v>
      </c>
    </row>
    <row r="11" spans="1:6" hidden="1" x14ac:dyDescent="0.25">
      <c r="A11" s="74" t="s">
        <v>504</v>
      </c>
      <c r="B11" s="124">
        <v>8765</v>
      </c>
      <c r="C11" s="49" t="s">
        <v>37</v>
      </c>
      <c r="D11" s="49" t="s">
        <v>38</v>
      </c>
      <c r="E11" s="50">
        <v>10</v>
      </c>
      <c r="F11" s="116">
        <v>46316</v>
      </c>
    </row>
    <row r="12" spans="1:6" hidden="1" x14ac:dyDescent="0.25">
      <c r="A12" s="74" t="s">
        <v>504</v>
      </c>
      <c r="B12" s="124">
        <v>8765</v>
      </c>
      <c r="C12" s="49" t="s">
        <v>163</v>
      </c>
      <c r="D12" s="49" t="s">
        <v>613</v>
      </c>
      <c r="E12" s="50">
        <v>17</v>
      </c>
      <c r="F12" s="116">
        <v>46316</v>
      </c>
    </row>
    <row r="13" spans="1:6" hidden="1" x14ac:dyDescent="0.25">
      <c r="A13" s="74" t="s">
        <v>504</v>
      </c>
      <c r="B13" s="124">
        <v>8765</v>
      </c>
      <c r="C13" s="49" t="s">
        <v>51</v>
      </c>
      <c r="D13" s="49" t="s">
        <v>582</v>
      </c>
      <c r="E13" s="50">
        <v>17</v>
      </c>
      <c r="F13" s="116">
        <v>46316</v>
      </c>
    </row>
    <row r="14" spans="1:6" hidden="1" x14ac:dyDescent="0.25">
      <c r="A14" s="74" t="s">
        <v>504</v>
      </c>
      <c r="B14" s="124">
        <v>8765</v>
      </c>
      <c r="C14" s="49" t="s">
        <v>387</v>
      </c>
      <c r="D14" s="49" t="s">
        <v>680</v>
      </c>
      <c r="E14" s="50">
        <v>17</v>
      </c>
      <c r="F14" s="116">
        <v>46316</v>
      </c>
    </row>
    <row r="15" spans="1:6" hidden="1" x14ac:dyDescent="0.25">
      <c r="A15" s="74" t="s">
        <v>504</v>
      </c>
      <c r="B15" s="124">
        <v>8765</v>
      </c>
      <c r="C15" s="49" t="s">
        <v>107</v>
      </c>
      <c r="D15" s="49" t="s">
        <v>583</v>
      </c>
      <c r="E15" s="50">
        <v>17</v>
      </c>
      <c r="F15" s="116">
        <v>46316</v>
      </c>
    </row>
    <row r="16" spans="1:6" hidden="1" x14ac:dyDescent="0.25">
      <c r="A16" s="74" t="s">
        <v>504</v>
      </c>
      <c r="B16" s="124">
        <v>8765</v>
      </c>
      <c r="C16" s="49" t="s">
        <v>495</v>
      </c>
      <c r="D16" s="49" t="s">
        <v>496</v>
      </c>
      <c r="E16" s="64">
        <v>14</v>
      </c>
      <c r="F16" s="116">
        <v>46316</v>
      </c>
    </row>
    <row r="17" spans="1:6" hidden="1" x14ac:dyDescent="0.25">
      <c r="A17" s="74" t="s">
        <v>504</v>
      </c>
      <c r="B17" s="124">
        <v>8765</v>
      </c>
      <c r="C17" s="49" t="s">
        <v>497</v>
      </c>
      <c r="D17" s="49" t="s">
        <v>498</v>
      </c>
      <c r="E17" s="50">
        <v>34</v>
      </c>
      <c r="F17" s="116">
        <v>46316</v>
      </c>
    </row>
    <row r="18" spans="1:6" hidden="1" x14ac:dyDescent="0.25">
      <c r="A18" s="74" t="s">
        <v>504</v>
      </c>
      <c r="B18" s="124">
        <v>8765</v>
      </c>
      <c r="C18" s="49" t="s">
        <v>499</v>
      </c>
      <c r="D18" s="49" t="s">
        <v>639</v>
      </c>
      <c r="E18" s="50">
        <v>15</v>
      </c>
      <c r="F18" s="116">
        <v>46316</v>
      </c>
    </row>
    <row r="19" spans="1:6" hidden="1" x14ac:dyDescent="0.25">
      <c r="A19" s="74" t="s">
        <v>504</v>
      </c>
      <c r="B19" s="124">
        <v>8765</v>
      </c>
      <c r="C19" s="49" t="s">
        <v>500</v>
      </c>
      <c r="D19" s="49" t="s">
        <v>593</v>
      </c>
      <c r="E19" s="50">
        <v>18</v>
      </c>
      <c r="F19" s="116">
        <v>46316</v>
      </c>
    </row>
    <row r="20" spans="1:6" hidden="1" x14ac:dyDescent="0.25">
      <c r="A20" s="74" t="s">
        <v>504</v>
      </c>
      <c r="B20" s="124">
        <v>8765</v>
      </c>
      <c r="C20" s="49" t="s">
        <v>501</v>
      </c>
      <c r="D20" s="49" t="s">
        <v>638</v>
      </c>
      <c r="E20" s="50">
        <v>18</v>
      </c>
      <c r="F20" s="116">
        <v>46316</v>
      </c>
    </row>
    <row r="21" spans="1:6" hidden="1" x14ac:dyDescent="0.25">
      <c r="A21" s="74" t="s">
        <v>504</v>
      </c>
      <c r="B21" s="124">
        <v>8765</v>
      </c>
      <c r="C21" s="49" t="s">
        <v>502</v>
      </c>
      <c r="D21" s="49" t="s">
        <v>662</v>
      </c>
      <c r="E21" s="50">
        <v>4</v>
      </c>
      <c r="F21" s="116">
        <v>46316</v>
      </c>
    </row>
    <row r="22" spans="1:6" hidden="1" x14ac:dyDescent="0.25">
      <c r="A22" s="74" t="s">
        <v>504</v>
      </c>
      <c r="B22" s="124">
        <v>8765</v>
      </c>
      <c r="C22" s="49" t="s">
        <v>503</v>
      </c>
      <c r="D22" s="49" t="s">
        <v>663</v>
      </c>
      <c r="E22" s="50">
        <v>3</v>
      </c>
      <c r="F22" s="116">
        <v>46316</v>
      </c>
    </row>
    <row r="23" spans="1:6" hidden="1" x14ac:dyDescent="0.25">
      <c r="A23" s="74" t="s">
        <v>637</v>
      </c>
      <c r="B23" s="124"/>
      <c r="C23" s="49" t="s">
        <v>597</v>
      </c>
      <c r="D23" s="49" t="s">
        <v>612</v>
      </c>
      <c r="E23" s="50">
        <v>1</v>
      </c>
      <c r="F23" s="116">
        <v>46320</v>
      </c>
    </row>
    <row r="24" spans="1:6" hidden="1" x14ac:dyDescent="0.25">
      <c r="A24" s="74" t="s">
        <v>637</v>
      </c>
      <c r="B24" s="124"/>
      <c r="C24" s="49" t="s">
        <v>376</v>
      </c>
      <c r="D24" s="49" t="s">
        <v>377</v>
      </c>
      <c r="E24" s="50">
        <v>1</v>
      </c>
      <c r="F24" s="116">
        <v>46320</v>
      </c>
    </row>
    <row r="25" spans="1:6" hidden="1" x14ac:dyDescent="0.25">
      <c r="A25" s="74" t="s">
        <v>637</v>
      </c>
      <c r="B25" s="124"/>
      <c r="C25" s="49" t="s">
        <v>598</v>
      </c>
      <c r="D25" s="49" t="s">
        <v>599</v>
      </c>
      <c r="E25" s="50">
        <v>1</v>
      </c>
      <c r="F25" s="116">
        <v>46320</v>
      </c>
    </row>
    <row r="26" spans="1:6" hidden="1" x14ac:dyDescent="0.25">
      <c r="A26" s="74" t="s">
        <v>637</v>
      </c>
      <c r="B26" s="124"/>
      <c r="C26" s="49" t="s">
        <v>568</v>
      </c>
      <c r="D26" s="49" t="s">
        <v>618</v>
      </c>
      <c r="E26" s="50">
        <v>1</v>
      </c>
      <c r="F26" s="116">
        <v>46320</v>
      </c>
    </row>
    <row r="27" spans="1:6" hidden="1" x14ac:dyDescent="0.25">
      <c r="A27" s="74" t="s">
        <v>637</v>
      </c>
      <c r="B27" s="124"/>
      <c r="C27" s="49" t="s">
        <v>600</v>
      </c>
      <c r="D27" s="49" t="s">
        <v>601</v>
      </c>
      <c r="E27" s="50">
        <v>1</v>
      </c>
      <c r="F27" s="116">
        <v>46320</v>
      </c>
    </row>
    <row r="28" spans="1:6" hidden="1" x14ac:dyDescent="0.25">
      <c r="A28" s="74" t="s">
        <v>637</v>
      </c>
      <c r="B28" s="124"/>
      <c r="C28" s="49" t="s">
        <v>602</v>
      </c>
      <c r="D28" s="49" t="s">
        <v>616</v>
      </c>
      <c r="E28" s="50">
        <v>1</v>
      </c>
      <c r="F28" s="116">
        <v>46320</v>
      </c>
    </row>
    <row r="29" spans="1:6" hidden="1" x14ac:dyDescent="0.25">
      <c r="A29" s="74" t="s">
        <v>637</v>
      </c>
      <c r="B29" s="124"/>
      <c r="C29" s="49" t="s">
        <v>410</v>
      </c>
      <c r="D29" s="49" t="s">
        <v>617</v>
      </c>
      <c r="E29" s="50">
        <v>1</v>
      </c>
      <c r="F29" s="116">
        <v>46320</v>
      </c>
    </row>
    <row r="30" spans="1:6" hidden="1" x14ac:dyDescent="0.25">
      <c r="A30" s="74" t="s">
        <v>637</v>
      </c>
      <c r="B30" s="124"/>
      <c r="C30" s="49" t="s">
        <v>603</v>
      </c>
      <c r="D30" s="49" t="s">
        <v>604</v>
      </c>
      <c r="E30" s="50">
        <v>1</v>
      </c>
      <c r="F30" s="116">
        <v>46320</v>
      </c>
    </row>
    <row r="31" spans="1:6" hidden="1" x14ac:dyDescent="0.25">
      <c r="A31" s="74" t="s">
        <v>637</v>
      </c>
      <c r="B31" s="124"/>
      <c r="C31" s="49" t="s">
        <v>500</v>
      </c>
      <c r="D31" s="49" t="s">
        <v>593</v>
      </c>
      <c r="E31" s="50">
        <v>1</v>
      </c>
      <c r="F31" s="116">
        <v>46320</v>
      </c>
    </row>
    <row r="32" spans="1:6" hidden="1" x14ac:dyDescent="0.25">
      <c r="A32" s="74" t="s">
        <v>637</v>
      </c>
      <c r="B32" s="124"/>
      <c r="C32" s="49" t="s">
        <v>501</v>
      </c>
      <c r="D32" s="49" t="s">
        <v>638</v>
      </c>
      <c r="E32" s="50">
        <v>1</v>
      </c>
      <c r="F32" s="116">
        <v>46320</v>
      </c>
    </row>
    <row r="33" spans="1:6" hidden="1" x14ac:dyDescent="0.25">
      <c r="A33" s="74" t="s">
        <v>637</v>
      </c>
      <c r="B33" s="124"/>
      <c r="C33" s="49" t="s">
        <v>499</v>
      </c>
      <c r="D33" s="49" t="s">
        <v>639</v>
      </c>
      <c r="E33" s="50">
        <v>1</v>
      </c>
      <c r="F33" s="116">
        <v>46320</v>
      </c>
    </row>
    <row r="34" spans="1:6" hidden="1" x14ac:dyDescent="0.25">
      <c r="A34" s="74" t="s">
        <v>637</v>
      </c>
      <c r="B34" s="124"/>
      <c r="C34" s="49" t="s">
        <v>125</v>
      </c>
      <c r="D34" s="49" t="s">
        <v>673</v>
      </c>
      <c r="E34" s="50">
        <v>1</v>
      </c>
      <c r="F34" s="116">
        <v>46320</v>
      </c>
    </row>
    <row r="35" spans="1:6" hidden="1" x14ac:dyDescent="0.25">
      <c r="A35" s="74" t="s">
        <v>637</v>
      </c>
      <c r="B35" s="124"/>
      <c r="C35" s="49" t="s">
        <v>107</v>
      </c>
      <c r="D35" s="49" t="s">
        <v>583</v>
      </c>
      <c r="E35" s="50">
        <v>1</v>
      </c>
      <c r="F35" s="116">
        <v>46320</v>
      </c>
    </row>
    <row r="36" spans="1:6" hidden="1" x14ac:dyDescent="0.25">
      <c r="A36" s="74" t="s">
        <v>637</v>
      </c>
      <c r="B36" s="124"/>
      <c r="C36" s="49" t="s">
        <v>51</v>
      </c>
      <c r="D36" s="49" t="s">
        <v>582</v>
      </c>
      <c r="E36" s="50">
        <v>1</v>
      </c>
      <c r="F36" s="116">
        <v>46320</v>
      </c>
    </row>
    <row r="37" spans="1:6" hidden="1" x14ac:dyDescent="0.25">
      <c r="A37" s="74" t="s">
        <v>637</v>
      </c>
      <c r="B37" s="124"/>
      <c r="C37" s="49" t="s">
        <v>45</v>
      </c>
      <c r="D37" s="49" t="s">
        <v>46</v>
      </c>
      <c r="E37" s="50">
        <v>1</v>
      </c>
      <c r="F37" s="116">
        <v>46320</v>
      </c>
    </row>
    <row r="38" spans="1:6" hidden="1" x14ac:dyDescent="0.25">
      <c r="A38" s="74" t="s">
        <v>637</v>
      </c>
      <c r="B38" s="124"/>
      <c r="C38" s="49" t="s">
        <v>603</v>
      </c>
      <c r="D38" s="49" t="s">
        <v>604</v>
      </c>
      <c r="E38" s="50">
        <v>1</v>
      </c>
      <c r="F38" s="116">
        <v>46320</v>
      </c>
    </row>
    <row r="39" spans="1:6" hidden="1" x14ac:dyDescent="0.25">
      <c r="A39" s="74" t="s">
        <v>637</v>
      </c>
      <c r="B39" s="124"/>
      <c r="C39" s="49" t="s">
        <v>500</v>
      </c>
      <c r="D39" s="49" t="s">
        <v>593</v>
      </c>
      <c r="E39" s="50">
        <v>1</v>
      </c>
      <c r="F39" s="116">
        <v>46320</v>
      </c>
    </row>
    <row r="40" spans="1:6" hidden="1" x14ac:dyDescent="0.25">
      <c r="A40" s="74" t="s">
        <v>637</v>
      </c>
      <c r="B40" s="124"/>
      <c r="C40" s="49" t="s">
        <v>501</v>
      </c>
      <c r="D40" s="49" t="s">
        <v>638</v>
      </c>
      <c r="E40" s="50">
        <v>1</v>
      </c>
      <c r="F40" s="116">
        <v>46320</v>
      </c>
    </row>
    <row r="41" spans="1:6" ht="15.75" hidden="1" customHeight="1" x14ac:dyDescent="0.25">
      <c r="A41" s="74" t="s">
        <v>637</v>
      </c>
      <c r="B41" s="124"/>
      <c r="C41" s="49" t="s">
        <v>499</v>
      </c>
      <c r="D41" s="49" t="s">
        <v>639</v>
      </c>
      <c r="E41" s="50">
        <v>1</v>
      </c>
      <c r="F41" s="116">
        <v>46320</v>
      </c>
    </row>
    <row r="42" spans="1:6" hidden="1" x14ac:dyDescent="0.25">
      <c r="A42" s="74" t="s">
        <v>637</v>
      </c>
      <c r="B42" s="124"/>
      <c r="C42" s="49" t="s">
        <v>605</v>
      </c>
      <c r="D42" s="49" t="s">
        <v>606</v>
      </c>
      <c r="E42" s="50">
        <v>10</v>
      </c>
      <c r="F42" s="116">
        <v>46320</v>
      </c>
    </row>
    <row r="43" spans="1:6" hidden="1" x14ac:dyDescent="0.25">
      <c r="A43" s="74" t="s">
        <v>637</v>
      </c>
      <c r="B43" s="124"/>
      <c r="C43" s="49" t="s">
        <v>548</v>
      </c>
      <c r="D43" s="49" t="s">
        <v>615</v>
      </c>
      <c r="E43" s="50">
        <v>1</v>
      </c>
      <c r="F43" s="116">
        <v>46320</v>
      </c>
    </row>
    <row r="44" spans="1:6" hidden="1" x14ac:dyDescent="0.25">
      <c r="A44" s="74" t="s">
        <v>637</v>
      </c>
      <c r="B44" s="124"/>
      <c r="C44" s="49" t="s">
        <v>603</v>
      </c>
      <c r="D44" s="49" t="s">
        <v>604</v>
      </c>
      <c r="E44" s="50">
        <v>1</v>
      </c>
      <c r="F44" s="116">
        <v>46320</v>
      </c>
    </row>
    <row r="45" spans="1:6" hidden="1" x14ac:dyDescent="0.25">
      <c r="A45" s="74" t="s">
        <v>637</v>
      </c>
      <c r="B45" s="124"/>
      <c r="C45" s="49" t="s">
        <v>175</v>
      </c>
      <c r="D45" s="49" t="s">
        <v>176</v>
      </c>
      <c r="E45" s="50">
        <v>2</v>
      </c>
      <c r="F45" s="116">
        <v>46320</v>
      </c>
    </row>
    <row r="46" spans="1:6" hidden="1" x14ac:dyDescent="0.25">
      <c r="A46" s="74" t="s">
        <v>637</v>
      </c>
      <c r="B46" s="124"/>
      <c r="C46" s="49" t="s">
        <v>29</v>
      </c>
      <c r="D46" s="49" t="s">
        <v>30</v>
      </c>
      <c r="E46" s="50">
        <v>1</v>
      </c>
      <c r="F46" s="116">
        <v>46320</v>
      </c>
    </row>
    <row r="47" spans="1:6" hidden="1" x14ac:dyDescent="0.25">
      <c r="A47" s="74" t="s">
        <v>637</v>
      </c>
      <c r="B47" s="124"/>
      <c r="C47" s="49" t="s">
        <v>602</v>
      </c>
      <c r="D47" s="49" t="s">
        <v>616</v>
      </c>
      <c r="E47" s="50">
        <v>1</v>
      </c>
      <c r="F47" s="116">
        <v>46320</v>
      </c>
    </row>
    <row r="48" spans="1:6" hidden="1" x14ac:dyDescent="0.25">
      <c r="A48" s="74" t="s">
        <v>637</v>
      </c>
      <c r="B48" s="124"/>
      <c r="C48" s="49" t="s">
        <v>410</v>
      </c>
      <c r="D48" s="49" t="s">
        <v>617</v>
      </c>
      <c r="E48" s="50">
        <v>1</v>
      </c>
      <c r="F48" s="116">
        <v>46320</v>
      </c>
    </row>
    <row r="49" spans="1:6" hidden="1" x14ac:dyDescent="0.25">
      <c r="A49" s="74" t="s">
        <v>637</v>
      </c>
      <c r="B49" s="124"/>
      <c r="C49" s="49" t="s">
        <v>607</v>
      </c>
      <c r="D49" s="49" t="s">
        <v>608</v>
      </c>
      <c r="E49" s="50">
        <v>1</v>
      </c>
      <c r="F49" s="116">
        <v>46320</v>
      </c>
    </row>
    <row r="50" spans="1:6" hidden="1" x14ac:dyDescent="0.25">
      <c r="A50" s="74" t="s">
        <v>637</v>
      </c>
      <c r="B50" s="124"/>
      <c r="C50" s="49" t="s">
        <v>500</v>
      </c>
      <c r="D50" s="49" t="s">
        <v>593</v>
      </c>
      <c r="E50" s="50">
        <v>1</v>
      </c>
      <c r="F50" s="116">
        <v>46320</v>
      </c>
    </row>
    <row r="51" spans="1:6" hidden="1" x14ac:dyDescent="0.25">
      <c r="A51" s="74" t="s">
        <v>637</v>
      </c>
      <c r="B51" s="124"/>
      <c r="C51" s="49" t="s">
        <v>501</v>
      </c>
      <c r="D51" s="49" t="s">
        <v>638</v>
      </c>
      <c r="E51" s="50">
        <v>1</v>
      </c>
      <c r="F51" s="116">
        <v>46320</v>
      </c>
    </row>
    <row r="52" spans="1:6" hidden="1" x14ac:dyDescent="0.25">
      <c r="A52" s="74" t="s">
        <v>637</v>
      </c>
      <c r="B52" s="124"/>
      <c r="C52" s="49" t="s">
        <v>499</v>
      </c>
      <c r="D52" s="49" t="s">
        <v>639</v>
      </c>
      <c r="E52" s="50">
        <v>1</v>
      </c>
      <c r="F52" s="116">
        <v>46320</v>
      </c>
    </row>
    <row r="53" spans="1:6" hidden="1" x14ac:dyDescent="0.25">
      <c r="A53" s="74" t="s">
        <v>637</v>
      </c>
      <c r="B53" s="124"/>
      <c r="C53" s="49" t="s">
        <v>568</v>
      </c>
      <c r="D53" s="49" t="s">
        <v>618</v>
      </c>
      <c r="E53" s="50">
        <v>1</v>
      </c>
      <c r="F53" s="116">
        <v>46320</v>
      </c>
    </row>
    <row r="54" spans="1:6" hidden="1" x14ac:dyDescent="0.25">
      <c r="A54" s="74" t="s">
        <v>637</v>
      </c>
      <c r="B54" s="124"/>
      <c r="C54" s="126" t="s">
        <v>181</v>
      </c>
      <c r="D54" s="49" t="s">
        <v>619</v>
      </c>
      <c r="E54" s="50">
        <v>1</v>
      </c>
      <c r="F54" s="116">
        <v>46320</v>
      </c>
    </row>
    <row r="55" spans="1:6" hidden="1" x14ac:dyDescent="0.25">
      <c r="A55" s="74" t="s">
        <v>637</v>
      </c>
      <c r="B55" s="124"/>
      <c r="C55" s="126" t="s">
        <v>602</v>
      </c>
      <c r="D55" s="49" t="s">
        <v>616</v>
      </c>
      <c r="E55" s="50">
        <v>1</v>
      </c>
      <c r="F55" s="116">
        <v>46320</v>
      </c>
    </row>
    <row r="56" spans="1:6" hidden="1" x14ac:dyDescent="0.25">
      <c r="A56" s="74" t="s">
        <v>637</v>
      </c>
      <c r="B56" s="124"/>
      <c r="C56" s="126" t="s">
        <v>410</v>
      </c>
      <c r="D56" s="49" t="s">
        <v>617</v>
      </c>
      <c r="E56" s="50">
        <v>1</v>
      </c>
      <c r="F56" s="116">
        <v>46320</v>
      </c>
    </row>
    <row r="57" spans="1:6" hidden="1" x14ac:dyDescent="0.25">
      <c r="A57" s="74" t="s">
        <v>637</v>
      </c>
      <c r="B57" s="124"/>
      <c r="C57" s="126" t="s">
        <v>603</v>
      </c>
      <c r="D57" s="49" t="s">
        <v>604</v>
      </c>
      <c r="E57" s="50">
        <v>2</v>
      </c>
      <c r="F57" s="116">
        <v>46320</v>
      </c>
    </row>
    <row r="58" spans="1:6" hidden="1" x14ac:dyDescent="0.25">
      <c r="A58" s="74" t="s">
        <v>637</v>
      </c>
      <c r="B58" s="124"/>
      <c r="C58" s="126" t="s">
        <v>495</v>
      </c>
      <c r="D58" s="49" t="s">
        <v>496</v>
      </c>
      <c r="E58" s="50">
        <v>1</v>
      </c>
      <c r="F58" s="116">
        <v>46320</v>
      </c>
    </row>
    <row r="59" spans="1:6" hidden="1" x14ac:dyDescent="0.25">
      <c r="A59" s="74" t="s">
        <v>637</v>
      </c>
      <c r="B59" s="124"/>
      <c r="C59" s="126" t="s">
        <v>609</v>
      </c>
      <c r="D59" s="49" t="s">
        <v>643</v>
      </c>
      <c r="E59" s="50">
        <v>1</v>
      </c>
      <c r="F59" s="116">
        <v>46320</v>
      </c>
    </row>
    <row r="60" spans="1:6" hidden="1" x14ac:dyDescent="0.25">
      <c r="A60" s="74" t="s">
        <v>637</v>
      </c>
      <c r="B60" s="124"/>
      <c r="C60" s="126" t="s">
        <v>610</v>
      </c>
      <c r="D60" s="49" t="s">
        <v>640</v>
      </c>
      <c r="E60" s="50">
        <v>1</v>
      </c>
      <c r="F60" s="116">
        <v>46320</v>
      </c>
    </row>
    <row r="61" spans="1:6" hidden="1" x14ac:dyDescent="0.25">
      <c r="A61" s="74" t="s">
        <v>637</v>
      </c>
      <c r="B61" s="124"/>
      <c r="C61" s="126" t="s">
        <v>500</v>
      </c>
      <c r="D61" s="49" t="s">
        <v>593</v>
      </c>
      <c r="E61" s="50">
        <v>1</v>
      </c>
      <c r="F61" s="116">
        <v>46320</v>
      </c>
    </row>
    <row r="62" spans="1:6" hidden="1" x14ac:dyDescent="0.25">
      <c r="A62" s="74" t="s">
        <v>637</v>
      </c>
      <c r="B62" s="124"/>
      <c r="C62" s="126" t="s">
        <v>501</v>
      </c>
      <c r="D62" s="49" t="s">
        <v>638</v>
      </c>
      <c r="E62" s="50">
        <v>1</v>
      </c>
      <c r="F62" s="116">
        <v>46320</v>
      </c>
    </row>
    <row r="63" spans="1:6" hidden="1" x14ac:dyDescent="0.25">
      <c r="A63" s="74" t="s">
        <v>637</v>
      </c>
      <c r="B63" s="124"/>
      <c r="C63" s="126" t="s">
        <v>611</v>
      </c>
      <c r="D63" s="49" t="s">
        <v>664</v>
      </c>
      <c r="E63" s="50">
        <v>1</v>
      </c>
      <c r="F63" s="116">
        <v>46320</v>
      </c>
    </row>
    <row r="64" spans="1:6" hidden="1" x14ac:dyDescent="0.25">
      <c r="A64" s="74" t="s">
        <v>637</v>
      </c>
      <c r="B64" s="124"/>
      <c r="C64" s="49" t="s">
        <v>548</v>
      </c>
      <c r="D64" s="49" t="s">
        <v>615</v>
      </c>
      <c r="E64" s="50">
        <v>1</v>
      </c>
      <c r="F64" s="116">
        <v>46320</v>
      </c>
    </row>
    <row r="65" spans="1:6" hidden="1" x14ac:dyDescent="0.25">
      <c r="A65" s="74" t="s">
        <v>637</v>
      </c>
      <c r="B65" s="124"/>
      <c r="C65" s="49" t="s">
        <v>410</v>
      </c>
      <c r="D65" s="49" t="s">
        <v>617</v>
      </c>
      <c r="E65" s="50">
        <v>1</v>
      </c>
      <c r="F65" s="116">
        <v>46320</v>
      </c>
    </row>
    <row r="66" spans="1:6" hidden="1" x14ac:dyDescent="0.25">
      <c r="A66" s="74" t="s">
        <v>637</v>
      </c>
      <c r="B66" s="124"/>
      <c r="C66" s="49" t="s">
        <v>602</v>
      </c>
      <c r="D66" s="49" t="s">
        <v>616</v>
      </c>
      <c r="E66" s="50">
        <v>1</v>
      </c>
      <c r="F66" s="116">
        <v>46320</v>
      </c>
    </row>
    <row r="67" spans="1:6" hidden="1" x14ac:dyDescent="0.25">
      <c r="A67" s="74" t="s">
        <v>637</v>
      </c>
      <c r="B67" s="124"/>
      <c r="C67" s="49" t="s">
        <v>568</v>
      </c>
      <c r="D67" s="49" t="s">
        <v>618</v>
      </c>
      <c r="E67" s="50">
        <v>1</v>
      </c>
      <c r="F67" s="116">
        <v>46320</v>
      </c>
    </row>
    <row r="68" spans="1:6" hidden="1" x14ac:dyDescent="0.25">
      <c r="A68" s="74" t="s">
        <v>637</v>
      </c>
      <c r="B68" s="124"/>
      <c r="C68" s="49" t="s">
        <v>181</v>
      </c>
      <c r="D68" s="49" t="s">
        <v>619</v>
      </c>
      <c r="E68" s="50">
        <v>1</v>
      </c>
      <c r="F68" s="116">
        <v>46320</v>
      </c>
    </row>
    <row r="69" spans="1:6" hidden="1" x14ac:dyDescent="0.25">
      <c r="A69" s="74" t="s">
        <v>637</v>
      </c>
      <c r="B69" s="124"/>
      <c r="C69" s="49" t="s">
        <v>603</v>
      </c>
      <c r="D69" s="49" t="s">
        <v>604</v>
      </c>
      <c r="E69" s="50">
        <v>1</v>
      </c>
      <c r="F69" s="116">
        <v>46320</v>
      </c>
    </row>
    <row r="70" spans="1:6" hidden="1" x14ac:dyDescent="0.25">
      <c r="A70" s="74" t="s">
        <v>637</v>
      </c>
      <c r="B70" s="124"/>
      <c r="C70" s="49" t="s">
        <v>500</v>
      </c>
      <c r="D70" s="49" t="s">
        <v>593</v>
      </c>
      <c r="E70" s="50">
        <v>1</v>
      </c>
      <c r="F70" s="116">
        <v>46320</v>
      </c>
    </row>
    <row r="71" spans="1:6" hidden="1" x14ac:dyDescent="0.25">
      <c r="A71" s="74" t="s">
        <v>637</v>
      </c>
      <c r="B71" s="124"/>
      <c r="C71" s="49" t="s">
        <v>501</v>
      </c>
      <c r="D71" s="49" t="s">
        <v>638</v>
      </c>
      <c r="E71" s="50">
        <v>1</v>
      </c>
      <c r="F71" s="116">
        <v>46320</v>
      </c>
    </row>
    <row r="72" spans="1:6" hidden="1" x14ac:dyDescent="0.25">
      <c r="A72" s="74" t="s">
        <v>637</v>
      </c>
      <c r="B72" s="124"/>
      <c r="C72" s="49" t="s">
        <v>499</v>
      </c>
      <c r="D72" s="49" t="s">
        <v>639</v>
      </c>
      <c r="E72" s="64">
        <v>1</v>
      </c>
      <c r="F72" s="116">
        <v>46320</v>
      </c>
    </row>
    <row r="73" spans="1:6" hidden="1" x14ac:dyDescent="0.25">
      <c r="A73" s="74" t="s">
        <v>637</v>
      </c>
      <c r="B73" s="124"/>
      <c r="C73" s="49" t="s">
        <v>597</v>
      </c>
      <c r="D73" s="49" t="s">
        <v>612</v>
      </c>
      <c r="E73" s="50">
        <v>1</v>
      </c>
      <c r="F73" s="116">
        <v>46320</v>
      </c>
    </row>
    <row r="74" spans="1:6" hidden="1" x14ac:dyDescent="0.25">
      <c r="A74" s="74" t="s">
        <v>637</v>
      </c>
      <c r="B74" s="124"/>
      <c r="C74" s="49" t="s">
        <v>548</v>
      </c>
      <c r="D74" s="49" t="s">
        <v>615</v>
      </c>
      <c r="E74" s="50">
        <v>1</v>
      </c>
      <c r="F74" s="116">
        <v>46320</v>
      </c>
    </row>
    <row r="75" spans="1:6" hidden="1" x14ac:dyDescent="0.25">
      <c r="A75" s="74" t="s">
        <v>637</v>
      </c>
      <c r="B75" s="124"/>
      <c r="C75" s="49" t="s">
        <v>603</v>
      </c>
      <c r="D75" s="49" t="s">
        <v>604</v>
      </c>
      <c r="E75" s="50">
        <v>1</v>
      </c>
      <c r="F75" s="116">
        <v>46320</v>
      </c>
    </row>
    <row r="76" spans="1:6" hidden="1" x14ac:dyDescent="0.25">
      <c r="A76" s="74" t="s">
        <v>637</v>
      </c>
      <c r="B76" s="124"/>
      <c r="C76" s="49" t="s">
        <v>107</v>
      </c>
      <c r="D76" s="49" t="s">
        <v>583</v>
      </c>
      <c r="E76" s="50">
        <v>1</v>
      </c>
      <c r="F76" s="116">
        <v>46320</v>
      </c>
    </row>
    <row r="77" spans="1:6" hidden="1" x14ac:dyDescent="0.25">
      <c r="A77" s="74" t="s">
        <v>637</v>
      </c>
      <c r="B77" s="124"/>
      <c r="C77" s="49" t="s">
        <v>387</v>
      </c>
      <c r="D77" s="49" t="s">
        <v>680</v>
      </c>
      <c r="E77" s="50">
        <v>1</v>
      </c>
      <c r="F77" s="116">
        <v>46320</v>
      </c>
    </row>
    <row r="78" spans="1:6" hidden="1" x14ac:dyDescent="0.25">
      <c r="A78" s="74" t="s">
        <v>637</v>
      </c>
      <c r="B78" s="124"/>
      <c r="C78" s="49" t="s">
        <v>51</v>
      </c>
      <c r="D78" s="49" t="s">
        <v>582</v>
      </c>
      <c r="E78" s="64">
        <v>1</v>
      </c>
      <c r="F78" s="116">
        <v>46320</v>
      </c>
    </row>
    <row r="79" spans="1:6" hidden="1" x14ac:dyDescent="0.25">
      <c r="A79" s="74" t="s">
        <v>637</v>
      </c>
      <c r="B79" s="124"/>
      <c r="C79" s="81" t="s">
        <v>163</v>
      </c>
      <c r="D79" s="49" t="s">
        <v>613</v>
      </c>
      <c r="E79" s="130">
        <v>1</v>
      </c>
      <c r="F79" s="116">
        <v>46320</v>
      </c>
    </row>
    <row r="80" spans="1:6" hidden="1" x14ac:dyDescent="0.25">
      <c r="A80" s="74" t="s">
        <v>637</v>
      </c>
      <c r="B80" s="124"/>
      <c r="C80" s="49" t="s">
        <v>614</v>
      </c>
      <c r="D80" s="49" t="s">
        <v>665</v>
      </c>
      <c r="E80" s="50">
        <v>1</v>
      </c>
      <c r="F80" s="116">
        <v>46320</v>
      </c>
    </row>
    <row r="81" spans="1:6" hidden="1" x14ac:dyDescent="0.25">
      <c r="A81" s="74" t="s">
        <v>637</v>
      </c>
      <c r="B81" s="124"/>
      <c r="C81" s="49" t="s">
        <v>500</v>
      </c>
      <c r="D81" s="49" t="s">
        <v>593</v>
      </c>
      <c r="E81" s="50">
        <v>1</v>
      </c>
      <c r="F81" s="116">
        <v>46320</v>
      </c>
    </row>
    <row r="82" spans="1:6" hidden="1" x14ac:dyDescent="0.25">
      <c r="A82" s="74" t="s">
        <v>637</v>
      </c>
      <c r="B82" s="124"/>
      <c r="C82" s="49" t="s">
        <v>501</v>
      </c>
      <c r="D82" s="49" t="s">
        <v>638</v>
      </c>
      <c r="E82" s="64">
        <v>1</v>
      </c>
      <c r="F82" s="116">
        <v>46320</v>
      </c>
    </row>
    <row r="83" spans="1:6" hidden="1" x14ac:dyDescent="0.25">
      <c r="A83" s="74" t="s">
        <v>637</v>
      </c>
      <c r="B83" s="124"/>
      <c r="C83" s="49" t="s">
        <v>548</v>
      </c>
      <c r="D83" s="49" t="s">
        <v>615</v>
      </c>
      <c r="E83" s="50">
        <v>1</v>
      </c>
      <c r="F83" s="116">
        <v>46320</v>
      </c>
    </row>
    <row r="84" spans="1:6" hidden="1" x14ac:dyDescent="0.25">
      <c r="A84" s="74" t="s">
        <v>637</v>
      </c>
      <c r="B84" s="124"/>
      <c r="C84" s="49" t="s">
        <v>602</v>
      </c>
      <c r="D84" s="49" t="s">
        <v>616</v>
      </c>
      <c r="E84" s="50">
        <v>1</v>
      </c>
      <c r="F84" s="116">
        <v>46320</v>
      </c>
    </row>
    <row r="85" spans="1:6" hidden="1" x14ac:dyDescent="0.25">
      <c r="A85" s="74" t="s">
        <v>637</v>
      </c>
      <c r="B85" s="124"/>
      <c r="C85" s="49" t="s">
        <v>410</v>
      </c>
      <c r="D85" s="49" t="s">
        <v>617</v>
      </c>
      <c r="E85" s="64">
        <v>1</v>
      </c>
      <c r="F85" s="116">
        <v>46320</v>
      </c>
    </row>
    <row r="86" spans="1:6" hidden="1" x14ac:dyDescent="0.25">
      <c r="A86" s="74" t="s">
        <v>637</v>
      </c>
      <c r="B86" s="124"/>
      <c r="C86" s="49" t="s">
        <v>568</v>
      </c>
      <c r="D86" s="49" t="s">
        <v>618</v>
      </c>
      <c r="E86" s="50">
        <v>1</v>
      </c>
      <c r="F86" s="116">
        <v>46320</v>
      </c>
    </row>
    <row r="87" spans="1:6" hidden="1" x14ac:dyDescent="0.25">
      <c r="A87" s="74" t="s">
        <v>637</v>
      </c>
      <c r="B87" s="124"/>
      <c r="C87" s="49" t="s">
        <v>181</v>
      </c>
      <c r="D87" s="49" t="s">
        <v>619</v>
      </c>
      <c r="E87" s="50">
        <v>1</v>
      </c>
      <c r="F87" s="116">
        <v>46320</v>
      </c>
    </row>
    <row r="88" spans="1:6" hidden="1" x14ac:dyDescent="0.25">
      <c r="A88" s="74" t="s">
        <v>637</v>
      </c>
      <c r="B88" s="124"/>
      <c r="C88" s="49" t="s">
        <v>603</v>
      </c>
      <c r="D88" s="49" t="s">
        <v>604</v>
      </c>
      <c r="E88" s="64">
        <v>1</v>
      </c>
      <c r="F88" s="116">
        <v>46320</v>
      </c>
    </row>
    <row r="89" spans="1:6" hidden="1" x14ac:dyDescent="0.25">
      <c r="A89" s="74" t="s">
        <v>637</v>
      </c>
      <c r="B89" s="124"/>
      <c r="C89" s="49" t="s">
        <v>189</v>
      </c>
      <c r="D89" s="49" t="s">
        <v>589</v>
      </c>
      <c r="E89" s="50">
        <v>1</v>
      </c>
      <c r="F89" s="116">
        <v>46320</v>
      </c>
    </row>
    <row r="90" spans="1:6" hidden="1" x14ac:dyDescent="0.25">
      <c r="A90" s="74" t="s">
        <v>637</v>
      </c>
      <c r="B90" s="124"/>
      <c r="C90" s="49" t="s">
        <v>83</v>
      </c>
      <c r="D90" s="49" t="s">
        <v>620</v>
      </c>
      <c r="E90" s="50">
        <v>1</v>
      </c>
      <c r="F90" s="116">
        <v>46320</v>
      </c>
    </row>
    <row r="91" spans="1:6" hidden="1" x14ac:dyDescent="0.25">
      <c r="A91" s="74" t="s">
        <v>637</v>
      </c>
      <c r="B91" s="124"/>
      <c r="C91" s="49" t="s">
        <v>621</v>
      </c>
      <c r="D91" s="49" t="s">
        <v>641</v>
      </c>
      <c r="E91" s="50">
        <v>1</v>
      </c>
      <c r="F91" s="116">
        <v>46320</v>
      </c>
    </row>
    <row r="92" spans="1:6" hidden="1" x14ac:dyDescent="0.25">
      <c r="A92" s="74" t="s">
        <v>637</v>
      </c>
      <c r="B92" s="124"/>
      <c r="C92" s="49" t="s">
        <v>622</v>
      </c>
      <c r="D92" s="49" t="s">
        <v>666</v>
      </c>
      <c r="E92" s="50">
        <v>3</v>
      </c>
      <c r="F92" s="116">
        <v>46320</v>
      </c>
    </row>
    <row r="93" spans="1:6" hidden="1" x14ac:dyDescent="0.25">
      <c r="A93" s="74" t="s">
        <v>637</v>
      </c>
      <c r="B93" s="124"/>
      <c r="C93" s="49" t="s">
        <v>623</v>
      </c>
      <c r="D93" s="49" t="s">
        <v>624</v>
      </c>
      <c r="E93" s="50">
        <v>1</v>
      </c>
      <c r="F93" s="116">
        <v>46320</v>
      </c>
    </row>
    <row r="94" spans="1:6" hidden="1" x14ac:dyDescent="0.25">
      <c r="A94" s="74" t="s">
        <v>637</v>
      </c>
      <c r="B94" s="124"/>
      <c r="C94" s="49" t="s">
        <v>548</v>
      </c>
      <c r="D94" s="49" t="s">
        <v>615</v>
      </c>
      <c r="E94" s="64">
        <v>1</v>
      </c>
      <c r="F94" s="116">
        <v>46320</v>
      </c>
    </row>
    <row r="95" spans="1:6" hidden="1" x14ac:dyDescent="0.25">
      <c r="A95" s="74" t="s">
        <v>637</v>
      </c>
      <c r="B95" s="124"/>
      <c r="C95" s="49" t="s">
        <v>603</v>
      </c>
      <c r="D95" s="49" t="s">
        <v>604</v>
      </c>
      <c r="E95" s="50">
        <v>1</v>
      </c>
      <c r="F95" s="116">
        <v>46320</v>
      </c>
    </row>
    <row r="96" spans="1:6" hidden="1" x14ac:dyDescent="0.25">
      <c r="A96" s="74" t="s">
        <v>637</v>
      </c>
      <c r="B96" s="124"/>
      <c r="C96" s="49" t="s">
        <v>107</v>
      </c>
      <c r="D96" s="49" t="s">
        <v>583</v>
      </c>
      <c r="E96" s="50">
        <v>1</v>
      </c>
      <c r="F96" s="116">
        <v>46320</v>
      </c>
    </row>
    <row r="97" spans="1:6" hidden="1" x14ac:dyDescent="0.25">
      <c r="A97" s="74" t="s">
        <v>637</v>
      </c>
      <c r="B97" s="124"/>
      <c r="C97" s="49" t="s">
        <v>31</v>
      </c>
      <c r="D97" s="49" t="s">
        <v>625</v>
      </c>
      <c r="E97" s="50">
        <v>1</v>
      </c>
      <c r="F97" s="116">
        <v>46320</v>
      </c>
    </row>
    <row r="98" spans="1:6" hidden="1" x14ac:dyDescent="0.25">
      <c r="A98" s="74" t="s">
        <v>637</v>
      </c>
      <c r="B98" s="124"/>
      <c r="C98" s="49" t="s">
        <v>626</v>
      </c>
      <c r="D98" s="49" t="s">
        <v>627</v>
      </c>
      <c r="E98" s="50">
        <v>1</v>
      </c>
      <c r="F98" s="116">
        <v>46320</v>
      </c>
    </row>
    <row r="99" spans="1:6" hidden="1" x14ac:dyDescent="0.25">
      <c r="A99" s="74" t="s">
        <v>637</v>
      </c>
      <c r="B99" s="124"/>
      <c r="C99" s="49" t="s">
        <v>163</v>
      </c>
      <c r="D99" s="49" t="s">
        <v>613</v>
      </c>
      <c r="E99" s="50">
        <v>1</v>
      </c>
      <c r="F99" s="116">
        <v>46320</v>
      </c>
    </row>
    <row r="100" spans="1:6" hidden="1" x14ac:dyDescent="0.25">
      <c r="A100" s="74" t="s">
        <v>637</v>
      </c>
      <c r="B100" s="124"/>
      <c r="C100" s="49" t="s">
        <v>9</v>
      </c>
      <c r="D100" s="49" t="s">
        <v>628</v>
      </c>
      <c r="E100" s="50">
        <v>1</v>
      </c>
      <c r="F100" s="116">
        <v>46320</v>
      </c>
    </row>
    <row r="101" spans="1:6" hidden="1" x14ac:dyDescent="0.25">
      <c r="A101" s="74" t="s">
        <v>637</v>
      </c>
      <c r="B101" s="124"/>
      <c r="C101" s="49" t="s">
        <v>313</v>
      </c>
      <c r="D101" s="49" t="s">
        <v>644</v>
      </c>
      <c r="E101" s="50">
        <v>1</v>
      </c>
      <c r="F101" s="116">
        <v>46320</v>
      </c>
    </row>
    <row r="102" spans="1:6" hidden="1" x14ac:dyDescent="0.25">
      <c r="A102" s="74" t="s">
        <v>637</v>
      </c>
      <c r="B102" s="124"/>
      <c r="C102" s="49" t="s">
        <v>629</v>
      </c>
      <c r="D102" s="49" t="s">
        <v>630</v>
      </c>
      <c r="E102" s="64">
        <v>1</v>
      </c>
      <c r="F102" s="116">
        <v>46320</v>
      </c>
    </row>
    <row r="103" spans="1:6" hidden="1" x14ac:dyDescent="0.25">
      <c r="A103" s="74" t="s">
        <v>637</v>
      </c>
      <c r="B103" s="124"/>
      <c r="C103" s="49" t="s">
        <v>81</v>
      </c>
      <c r="D103" s="49" t="s">
        <v>631</v>
      </c>
      <c r="E103" s="50">
        <v>1</v>
      </c>
      <c r="F103" s="116">
        <v>46320</v>
      </c>
    </row>
    <row r="104" spans="1:6" hidden="1" x14ac:dyDescent="0.25">
      <c r="A104" s="74" t="s">
        <v>637</v>
      </c>
      <c r="B104" s="124"/>
      <c r="C104" s="49" t="s">
        <v>423</v>
      </c>
      <c r="D104" s="49" t="s">
        <v>424</v>
      </c>
      <c r="E104" s="50">
        <v>1</v>
      </c>
      <c r="F104" s="116">
        <v>46320</v>
      </c>
    </row>
    <row r="105" spans="1:6" hidden="1" x14ac:dyDescent="0.25">
      <c r="A105" s="74" t="s">
        <v>637</v>
      </c>
      <c r="B105" s="124"/>
      <c r="C105" s="49" t="s">
        <v>73</v>
      </c>
      <c r="D105" s="49" t="s">
        <v>632</v>
      </c>
      <c r="E105" s="50">
        <v>1</v>
      </c>
      <c r="F105" s="116">
        <v>46320</v>
      </c>
    </row>
    <row r="106" spans="1:6" hidden="1" x14ac:dyDescent="0.25">
      <c r="A106" s="74" t="s">
        <v>637</v>
      </c>
      <c r="B106" s="124"/>
      <c r="C106" s="49" t="s">
        <v>633</v>
      </c>
      <c r="D106" s="49" t="s">
        <v>634</v>
      </c>
      <c r="E106" s="50">
        <v>1</v>
      </c>
      <c r="F106" s="116">
        <v>46320</v>
      </c>
    </row>
    <row r="107" spans="1:6" hidden="1" x14ac:dyDescent="0.25">
      <c r="A107" s="74" t="s">
        <v>637</v>
      </c>
      <c r="B107" s="124"/>
      <c r="C107" s="49" t="s">
        <v>635</v>
      </c>
      <c r="D107" s="49" t="s">
        <v>636</v>
      </c>
      <c r="E107" s="50">
        <v>1</v>
      </c>
      <c r="F107" s="116">
        <v>46320</v>
      </c>
    </row>
    <row r="108" spans="1:6" hidden="1" x14ac:dyDescent="0.25">
      <c r="A108" s="74" t="s">
        <v>637</v>
      </c>
      <c r="B108" s="124"/>
      <c r="C108" s="49" t="s">
        <v>614</v>
      </c>
      <c r="D108" s="49" t="s">
        <v>665</v>
      </c>
      <c r="E108" s="50">
        <v>1</v>
      </c>
      <c r="F108" s="116">
        <v>46320</v>
      </c>
    </row>
    <row r="109" spans="1:6" hidden="1" x14ac:dyDescent="0.25">
      <c r="A109" s="74" t="s">
        <v>637</v>
      </c>
      <c r="B109" s="124"/>
      <c r="C109" s="49" t="s">
        <v>500</v>
      </c>
      <c r="D109" s="49" t="s">
        <v>593</v>
      </c>
      <c r="E109" s="50">
        <v>1</v>
      </c>
      <c r="F109" s="116">
        <v>46320</v>
      </c>
    </row>
    <row r="110" spans="1:6" hidden="1" x14ac:dyDescent="0.25">
      <c r="A110" s="74" t="s">
        <v>637</v>
      </c>
      <c r="B110" s="124"/>
      <c r="C110" s="49" t="s">
        <v>501</v>
      </c>
      <c r="D110" s="49" t="s">
        <v>638</v>
      </c>
      <c r="E110" s="50">
        <v>1</v>
      </c>
      <c r="F110" s="116">
        <v>46320</v>
      </c>
    </row>
    <row r="111" spans="1:6" hidden="1" x14ac:dyDescent="0.25">
      <c r="A111" s="74" t="s">
        <v>637</v>
      </c>
      <c r="B111" s="124"/>
      <c r="C111" s="49" t="s">
        <v>548</v>
      </c>
      <c r="D111" s="49" t="s">
        <v>615</v>
      </c>
      <c r="E111" s="50">
        <v>1</v>
      </c>
      <c r="F111" s="116">
        <v>46320</v>
      </c>
    </row>
    <row r="112" spans="1:6" hidden="1" x14ac:dyDescent="0.25">
      <c r="A112" s="74" t="s">
        <v>637</v>
      </c>
      <c r="B112" s="124"/>
      <c r="C112" s="49" t="s">
        <v>410</v>
      </c>
      <c r="D112" s="49" t="s">
        <v>617</v>
      </c>
      <c r="E112" s="50">
        <v>1</v>
      </c>
      <c r="F112" s="116">
        <v>46320</v>
      </c>
    </row>
    <row r="113" spans="1:6" hidden="1" x14ac:dyDescent="0.25">
      <c r="A113" s="74" t="s">
        <v>637</v>
      </c>
      <c r="B113" s="124"/>
      <c r="C113" s="49" t="s">
        <v>602</v>
      </c>
      <c r="D113" s="49" t="s">
        <v>616</v>
      </c>
      <c r="E113" s="64">
        <v>1</v>
      </c>
      <c r="F113" s="116">
        <v>46320</v>
      </c>
    </row>
    <row r="114" spans="1:6" hidden="1" x14ac:dyDescent="0.25">
      <c r="A114" s="74" t="s">
        <v>637</v>
      </c>
      <c r="B114" s="124"/>
      <c r="C114" s="49" t="s">
        <v>181</v>
      </c>
      <c r="D114" s="49" t="s">
        <v>619</v>
      </c>
      <c r="E114" s="64">
        <v>1</v>
      </c>
      <c r="F114" s="116">
        <v>46320</v>
      </c>
    </row>
    <row r="115" spans="1:6" hidden="1" x14ac:dyDescent="0.25">
      <c r="A115" s="74" t="s">
        <v>637</v>
      </c>
      <c r="B115" s="124"/>
      <c r="C115" s="49" t="s">
        <v>568</v>
      </c>
      <c r="D115" s="49" t="s">
        <v>618</v>
      </c>
      <c r="E115" s="64">
        <v>1</v>
      </c>
      <c r="F115" s="116">
        <v>46320</v>
      </c>
    </row>
    <row r="116" spans="1:6" hidden="1" x14ac:dyDescent="0.25">
      <c r="A116" s="74" t="s">
        <v>637</v>
      </c>
      <c r="B116" s="124"/>
      <c r="C116" s="49" t="s">
        <v>603</v>
      </c>
      <c r="D116" s="49" t="s">
        <v>604</v>
      </c>
      <c r="E116" s="64">
        <v>1</v>
      </c>
      <c r="F116" s="116">
        <v>46320</v>
      </c>
    </row>
    <row r="117" spans="1:6" hidden="1" x14ac:dyDescent="0.25">
      <c r="A117" s="74" t="s">
        <v>637</v>
      </c>
      <c r="B117" s="124"/>
      <c r="C117" s="49" t="s">
        <v>83</v>
      </c>
      <c r="D117" s="129" t="s">
        <v>620</v>
      </c>
      <c r="E117" s="64">
        <v>1</v>
      </c>
      <c r="F117" s="116">
        <v>46320</v>
      </c>
    </row>
    <row r="118" spans="1:6" hidden="1" x14ac:dyDescent="0.25">
      <c r="A118" s="74" t="s">
        <v>637</v>
      </c>
      <c r="B118" s="124"/>
      <c r="C118" s="49" t="s">
        <v>568</v>
      </c>
      <c r="D118" s="49" t="s">
        <v>618</v>
      </c>
      <c r="E118" s="64">
        <v>1</v>
      </c>
      <c r="F118" s="116">
        <v>46320</v>
      </c>
    </row>
    <row r="119" spans="1:6" hidden="1" x14ac:dyDescent="0.25">
      <c r="A119" s="74" t="s">
        <v>637</v>
      </c>
      <c r="B119" s="124"/>
      <c r="C119" s="49" t="s">
        <v>181</v>
      </c>
      <c r="D119" s="49" t="s">
        <v>619</v>
      </c>
      <c r="E119" s="50">
        <v>1</v>
      </c>
      <c r="F119" s="116">
        <v>46320</v>
      </c>
    </row>
    <row r="120" spans="1:6" hidden="1" x14ac:dyDescent="0.25">
      <c r="A120" s="74" t="s">
        <v>637</v>
      </c>
      <c r="B120" s="124"/>
      <c r="C120" s="49" t="s">
        <v>602</v>
      </c>
      <c r="D120" s="49" t="s">
        <v>616</v>
      </c>
      <c r="E120" s="50">
        <v>1</v>
      </c>
      <c r="F120" s="116">
        <v>46320</v>
      </c>
    </row>
    <row r="121" spans="1:6" s="128" customFormat="1" hidden="1" x14ac:dyDescent="0.25">
      <c r="A121" s="74" t="s">
        <v>637</v>
      </c>
      <c r="B121" s="124"/>
      <c r="C121" s="49" t="s">
        <v>410</v>
      </c>
      <c r="D121" s="49" t="s">
        <v>617</v>
      </c>
      <c r="E121" s="64">
        <v>1</v>
      </c>
      <c r="F121" s="116">
        <v>46320</v>
      </c>
    </row>
    <row r="122" spans="1:6" s="128" customFormat="1" hidden="1" x14ac:dyDescent="0.25">
      <c r="A122" s="74" t="s">
        <v>637</v>
      </c>
      <c r="B122" s="124"/>
      <c r="C122" s="49" t="s">
        <v>603</v>
      </c>
      <c r="D122" s="49" t="s">
        <v>604</v>
      </c>
      <c r="E122" s="64">
        <v>1</v>
      </c>
      <c r="F122" s="116">
        <v>46320</v>
      </c>
    </row>
    <row r="123" spans="1:6" s="128" customFormat="1" hidden="1" x14ac:dyDescent="0.25">
      <c r="A123" s="74" t="s">
        <v>637</v>
      </c>
      <c r="B123" s="124"/>
      <c r="C123" s="49" t="s">
        <v>548</v>
      </c>
      <c r="D123" s="49" t="s">
        <v>615</v>
      </c>
      <c r="E123" s="64">
        <v>1</v>
      </c>
      <c r="F123" s="116">
        <v>46320</v>
      </c>
    </row>
    <row r="124" spans="1:6" s="128" customFormat="1" hidden="1" x14ac:dyDescent="0.25">
      <c r="A124" s="74" t="s">
        <v>637</v>
      </c>
      <c r="B124" s="124"/>
      <c r="C124" s="49" t="s">
        <v>167</v>
      </c>
      <c r="D124" s="49" t="s">
        <v>645</v>
      </c>
      <c r="E124" s="64">
        <v>1</v>
      </c>
      <c r="F124" s="116">
        <v>46320</v>
      </c>
    </row>
    <row r="125" spans="1:6" s="128" customFormat="1" hidden="1" x14ac:dyDescent="0.25">
      <c r="A125" s="74" t="s">
        <v>637</v>
      </c>
      <c r="B125" s="124"/>
      <c r="C125" s="49" t="s">
        <v>139</v>
      </c>
      <c r="D125" s="49" t="s">
        <v>675</v>
      </c>
      <c r="E125" s="50">
        <v>1</v>
      </c>
      <c r="F125" s="116">
        <v>46320</v>
      </c>
    </row>
    <row r="126" spans="1:6" s="128" customFormat="1" hidden="1" x14ac:dyDescent="0.25">
      <c r="A126" s="74" t="s">
        <v>637</v>
      </c>
      <c r="B126" s="94"/>
      <c r="C126" s="49" t="s">
        <v>111</v>
      </c>
      <c r="D126" s="49" t="s">
        <v>505</v>
      </c>
      <c r="E126" s="50">
        <v>1</v>
      </c>
      <c r="F126" s="116">
        <v>46320</v>
      </c>
    </row>
    <row r="127" spans="1:6" hidden="1" x14ac:dyDescent="0.25">
      <c r="A127" s="74" t="s">
        <v>637</v>
      </c>
      <c r="B127" s="94"/>
      <c r="C127" s="49" t="s">
        <v>542</v>
      </c>
      <c r="D127" s="49" t="s">
        <v>646</v>
      </c>
      <c r="E127" s="64">
        <v>1</v>
      </c>
      <c r="F127" s="116">
        <v>46320</v>
      </c>
    </row>
    <row r="128" spans="1:6" hidden="1" x14ac:dyDescent="0.25">
      <c r="A128" s="74" t="s">
        <v>637</v>
      </c>
      <c r="B128" s="94"/>
      <c r="C128" s="49" t="s">
        <v>603</v>
      </c>
      <c r="D128" s="49" t="s">
        <v>604</v>
      </c>
      <c r="E128" s="50">
        <v>1</v>
      </c>
      <c r="F128" s="116">
        <v>46320</v>
      </c>
    </row>
    <row r="129" spans="1:6" hidden="1" x14ac:dyDescent="0.25">
      <c r="A129" s="62" t="s">
        <v>519</v>
      </c>
      <c r="B129" s="123">
        <v>9204</v>
      </c>
      <c r="C129" s="88" t="s">
        <v>454</v>
      </c>
      <c r="D129" s="88" t="s">
        <v>455</v>
      </c>
      <c r="E129" s="95">
        <v>200</v>
      </c>
      <c r="F129" s="117">
        <v>46324</v>
      </c>
    </row>
    <row r="130" spans="1:6" hidden="1" x14ac:dyDescent="0.25">
      <c r="A130" s="62" t="s">
        <v>536</v>
      </c>
      <c r="B130" s="123">
        <v>9005</v>
      </c>
      <c r="C130" s="49" t="s">
        <v>193</v>
      </c>
      <c r="D130" s="49" t="s">
        <v>194</v>
      </c>
      <c r="E130" s="50">
        <v>500</v>
      </c>
      <c r="F130" s="117">
        <v>46325</v>
      </c>
    </row>
    <row r="131" spans="1:6" hidden="1" x14ac:dyDescent="0.25">
      <c r="A131" s="62" t="s">
        <v>536</v>
      </c>
      <c r="B131" s="123">
        <v>9005</v>
      </c>
      <c r="C131" s="49" t="s">
        <v>520</v>
      </c>
      <c r="D131" s="49" t="s">
        <v>521</v>
      </c>
      <c r="E131" s="50">
        <v>200</v>
      </c>
      <c r="F131" s="117">
        <v>46325</v>
      </c>
    </row>
    <row r="132" spans="1:6" x14ac:dyDescent="0.25">
      <c r="A132" s="62" t="s">
        <v>536</v>
      </c>
      <c r="B132" s="123">
        <v>9005</v>
      </c>
      <c r="C132" s="49" t="s">
        <v>522</v>
      </c>
      <c r="D132" s="49" t="s">
        <v>523</v>
      </c>
      <c r="E132" s="50">
        <v>200</v>
      </c>
      <c r="F132" s="117">
        <v>46325</v>
      </c>
    </row>
    <row r="133" spans="1:6" hidden="1" x14ac:dyDescent="0.25">
      <c r="A133" s="62" t="s">
        <v>536</v>
      </c>
      <c r="B133" s="123">
        <v>9005</v>
      </c>
      <c r="C133" s="49" t="s">
        <v>524</v>
      </c>
      <c r="D133" s="49" t="s">
        <v>525</v>
      </c>
      <c r="E133" s="50">
        <v>200</v>
      </c>
      <c r="F133" s="117">
        <v>46325</v>
      </c>
    </row>
    <row r="134" spans="1:6" hidden="1" x14ac:dyDescent="0.25">
      <c r="A134" s="62" t="s">
        <v>536</v>
      </c>
      <c r="B134" s="123">
        <v>9005</v>
      </c>
      <c r="C134" s="49" t="s">
        <v>526</v>
      </c>
      <c r="D134" s="49" t="s">
        <v>527</v>
      </c>
      <c r="E134" s="50">
        <v>420</v>
      </c>
      <c r="F134" s="117">
        <v>46325</v>
      </c>
    </row>
    <row r="135" spans="1:6" hidden="1" x14ac:dyDescent="0.25">
      <c r="A135" s="62" t="s">
        <v>536</v>
      </c>
      <c r="B135" s="123">
        <v>9005</v>
      </c>
      <c r="C135" s="49" t="s">
        <v>222</v>
      </c>
      <c r="D135" s="49" t="s">
        <v>223</v>
      </c>
      <c r="E135" s="64">
        <v>200</v>
      </c>
      <c r="F135" s="117">
        <v>46325</v>
      </c>
    </row>
    <row r="136" spans="1:6" hidden="1" x14ac:dyDescent="0.25">
      <c r="A136" s="62" t="s">
        <v>536</v>
      </c>
      <c r="B136" s="123">
        <v>9005</v>
      </c>
      <c r="C136" s="49" t="s">
        <v>516</v>
      </c>
      <c r="D136" s="49" t="s">
        <v>674</v>
      </c>
      <c r="E136" s="50">
        <v>2000</v>
      </c>
      <c r="F136" s="117">
        <v>46325</v>
      </c>
    </row>
    <row r="137" spans="1:6" hidden="1" x14ac:dyDescent="0.25">
      <c r="A137" s="62" t="s">
        <v>536</v>
      </c>
      <c r="B137" s="123">
        <v>9005</v>
      </c>
      <c r="C137" s="49" t="s">
        <v>127</v>
      </c>
      <c r="D137" s="49" t="s">
        <v>128</v>
      </c>
      <c r="E137" s="50">
        <v>150</v>
      </c>
      <c r="F137" s="117">
        <v>46325</v>
      </c>
    </row>
    <row r="138" spans="1:6" hidden="1" x14ac:dyDescent="0.25">
      <c r="A138" s="62" t="s">
        <v>536</v>
      </c>
      <c r="B138" s="123">
        <v>9005</v>
      </c>
      <c r="C138" s="49" t="s">
        <v>528</v>
      </c>
      <c r="D138" s="49" t="s">
        <v>529</v>
      </c>
      <c r="E138" s="50">
        <v>293</v>
      </c>
      <c r="F138" s="117">
        <v>46325</v>
      </c>
    </row>
    <row r="139" spans="1:6" hidden="1" x14ac:dyDescent="0.25">
      <c r="A139" s="62" t="s">
        <v>536</v>
      </c>
      <c r="B139" s="123">
        <v>9005</v>
      </c>
      <c r="C139" s="49" t="s">
        <v>530</v>
      </c>
      <c r="D139" s="49" t="s">
        <v>531</v>
      </c>
      <c r="E139" s="50">
        <v>100</v>
      </c>
      <c r="F139" s="117">
        <v>46325</v>
      </c>
    </row>
    <row r="140" spans="1:6" hidden="1" x14ac:dyDescent="0.25">
      <c r="A140" s="62" t="s">
        <v>536</v>
      </c>
      <c r="B140" s="123">
        <v>9005</v>
      </c>
      <c r="C140" s="49" t="s">
        <v>532</v>
      </c>
      <c r="D140" s="49" t="s">
        <v>533</v>
      </c>
      <c r="E140" s="50">
        <v>100</v>
      </c>
      <c r="F140" s="117">
        <v>46325</v>
      </c>
    </row>
    <row r="141" spans="1:6" hidden="1" x14ac:dyDescent="0.25">
      <c r="A141" s="62" t="s">
        <v>536</v>
      </c>
      <c r="B141" s="123">
        <v>9005</v>
      </c>
      <c r="C141" s="49" t="s">
        <v>33</v>
      </c>
      <c r="D141" s="49" t="s">
        <v>34</v>
      </c>
      <c r="E141" s="50">
        <v>250</v>
      </c>
      <c r="F141" s="117">
        <v>46325</v>
      </c>
    </row>
    <row r="142" spans="1:6" hidden="1" x14ac:dyDescent="0.25">
      <c r="A142" s="62" t="s">
        <v>536</v>
      </c>
      <c r="B142" s="123">
        <v>9005</v>
      </c>
      <c r="C142" s="49" t="s">
        <v>205</v>
      </c>
      <c r="D142" s="49" t="s">
        <v>467</v>
      </c>
      <c r="E142" s="50">
        <v>150</v>
      </c>
      <c r="F142" s="117">
        <v>46325</v>
      </c>
    </row>
    <row r="143" spans="1:6" hidden="1" x14ac:dyDescent="0.25">
      <c r="A143" s="62" t="s">
        <v>536</v>
      </c>
      <c r="B143" s="123">
        <v>9005</v>
      </c>
      <c r="C143" s="49" t="s">
        <v>201</v>
      </c>
      <c r="D143" s="49" t="s">
        <v>202</v>
      </c>
      <c r="E143" s="50">
        <v>400</v>
      </c>
      <c r="F143" s="117">
        <v>46325</v>
      </c>
    </row>
    <row r="144" spans="1:6" hidden="1" x14ac:dyDescent="0.25">
      <c r="A144" s="62" t="s">
        <v>536</v>
      </c>
      <c r="B144" s="123">
        <v>9005</v>
      </c>
      <c r="C144" s="49" t="s">
        <v>534</v>
      </c>
      <c r="D144" s="49" t="s">
        <v>535</v>
      </c>
      <c r="E144" s="50">
        <v>150</v>
      </c>
      <c r="F144" s="117">
        <v>46325</v>
      </c>
    </row>
    <row r="145" spans="1:6" hidden="1" x14ac:dyDescent="0.25">
      <c r="A145" s="62" t="s">
        <v>536</v>
      </c>
      <c r="B145" s="123">
        <v>9005</v>
      </c>
      <c r="C145" s="49" t="s">
        <v>517</v>
      </c>
      <c r="D145" s="49" t="s">
        <v>591</v>
      </c>
      <c r="E145" s="50">
        <v>1580</v>
      </c>
      <c r="F145" s="117">
        <v>46325</v>
      </c>
    </row>
    <row r="146" spans="1:6" hidden="1" x14ac:dyDescent="0.25">
      <c r="A146" s="62" t="s">
        <v>536</v>
      </c>
      <c r="B146" s="123">
        <v>9005</v>
      </c>
      <c r="C146" s="49" t="s">
        <v>139</v>
      </c>
      <c r="D146" s="49" t="s">
        <v>675</v>
      </c>
      <c r="E146" s="50">
        <v>1707</v>
      </c>
      <c r="F146" s="117">
        <v>46325</v>
      </c>
    </row>
    <row r="147" spans="1:6" hidden="1" x14ac:dyDescent="0.25">
      <c r="A147" s="62" t="s">
        <v>512</v>
      </c>
      <c r="B147" s="123">
        <v>8952</v>
      </c>
      <c r="C147" s="49" t="s">
        <v>139</v>
      </c>
      <c r="D147" s="49" t="s">
        <v>675</v>
      </c>
      <c r="E147" s="50">
        <v>300</v>
      </c>
      <c r="F147" s="116">
        <v>46332</v>
      </c>
    </row>
    <row r="148" spans="1:6" hidden="1" x14ac:dyDescent="0.25">
      <c r="A148" s="62" t="s">
        <v>512</v>
      </c>
      <c r="B148" s="123">
        <v>8952</v>
      </c>
      <c r="C148" s="49" t="s">
        <v>167</v>
      </c>
      <c r="D148" s="49" t="s">
        <v>645</v>
      </c>
      <c r="E148" s="50">
        <v>300</v>
      </c>
      <c r="F148" s="116">
        <v>46332</v>
      </c>
    </row>
    <row r="149" spans="1:6" hidden="1" x14ac:dyDescent="0.25">
      <c r="A149" s="62" t="s">
        <v>512</v>
      </c>
      <c r="B149" s="123">
        <v>8952</v>
      </c>
      <c r="C149" s="49" t="s">
        <v>17</v>
      </c>
      <c r="D149" s="49" t="s">
        <v>647</v>
      </c>
      <c r="E149" s="50">
        <v>350</v>
      </c>
      <c r="F149" s="116">
        <v>46332</v>
      </c>
    </row>
    <row r="150" spans="1:6" hidden="1" x14ac:dyDescent="0.25">
      <c r="A150" s="62" t="s">
        <v>512</v>
      </c>
      <c r="B150" s="123">
        <v>8952</v>
      </c>
      <c r="C150" s="49" t="s">
        <v>75</v>
      </c>
      <c r="D150" s="49" t="s">
        <v>76</v>
      </c>
      <c r="E150" s="50">
        <v>100</v>
      </c>
      <c r="F150" s="116">
        <v>46332</v>
      </c>
    </row>
    <row r="151" spans="1:6" hidden="1" x14ac:dyDescent="0.25">
      <c r="A151" s="62" t="s">
        <v>512</v>
      </c>
      <c r="B151" s="123">
        <v>8952</v>
      </c>
      <c r="C151" s="49" t="s">
        <v>222</v>
      </c>
      <c r="D151" s="49" t="s">
        <v>223</v>
      </c>
      <c r="E151" s="50">
        <v>10</v>
      </c>
      <c r="F151" s="116">
        <v>46332</v>
      </c>
    </row>
    <row r="152" spans="1:6" hidden="1" x14ac:dyDescent="0.25">
      <c r="A152" s="62" t="s">
        <v>512</v>
      </c>
      <c r="B152" s="123">
        <v>8952</v>
      </c>
      <c r="C152" s="49" t="s">
        <v>286</v>
      </c>
      <c r="D152" s="49" t="s">
        <v>648</v>
      </c>
      <c r="E152" s="50">
        <v>10</v>
      </c>
      <c r="F152" s="116">
        <v>46332</v>
      </c>
    </row>
    <row r="153" spans="1:6" hidden="1" x14ac:dyDescent="0.25">
      <c r="A153" s="62" t="s">
        <v>512</v>
      </c>
      <c r="B153" s="123">
        <v>8952</v>
      </c>
      <c r="C153" s="49" t="s">
        <v>376</v>
      </c>
      <c r="D153" s="49" t="s">
        <v>377</v>
      </c>
      <c r="E153" s="50">
        <v>30</v>
      </c>
      <c r="F153" s="116">
        <v>46332</v>
      </c>
    </row>
    <row r="154" spans="1:6" hidden="1" x14ac:dyDescent="0.25">
      <c r="A154" s="62" t="s">
        <v>512</v>
      </c>
      <c r="B154" s="123">
        <v>8952</v>
      </c>
      <c r="C154" s="49" t="s">
        <v>103</v>
      </c>
      <c r="D154" s="49" t="s">
        <v>682</v>
      </c>
      <c r="E154" s="50">
        <v>25</v>
      </c>
      <c r="F154" s="116">
        <v>46332</v>
      </c>
    </row>
    <row r="155" spans="1:6" hidden="1" x14ac:dyDescent="0.25">
      <c r="A155" s="62" t="s">
        <v>512</v>
      </c>
      <c r="B155" s="123">
        <v>8952</v>
      </c>
      <c r="C155" s="49" t="s">
        <v>315</v>
      </c>
      <c r="D155" s="49" t="s">
        <v>581</v>
      </c>
      <c r="E155" s="50">
        <v>25</v>
      </c>
      <c r="F155" s="116">
        <v>46332</v>
      </c>
    </row>
    <row r="156" spans="1:6" hidden="1" x14ac:dyDescent="0.25">
      <c r="A156" s="62" t="s">
        <v>512</v>
      </c>
      <c r="B156" s="123">
        <v>8952</v>
      </c>
      <c r="C156" s="49" t="s">
        <v>327</v>
      </c>
      <c r="D156" s="49" t="s">
        <v>667</v>
      </c>
      <c r="E156" s="50">
        <v>25</v>
      </c>
      <c r="F156" s="116">
        <v>46332</v>
      </c>
    </row>
    <row r="157" spans="1:6" hidden="1" x14ac:dyDescent="0.25">
      <c r="A157" s="62" t="s">
        <v>512</v>
      </c>
      <c r="B157" s="123">
        <v>8952</v>
      </c>
      <c r="C157" s="49" t="s">
        <v>518</v>
      </c>
      <c r="D157" s="49" t="s">
        <v>592</v>
      </c>
      <c r="E157" s="50">
        <v>25</v>
      </c>
      <c r="F157" s="116">
        <v>46332</v>
      </c>
    </row>
    <row r="158" spans="1:6" hidden="1" x14ac:dyDescent="0.25">
      <c r="A158" s="62" t="s">
        <v>512</v>
      </c>
      <c r="B158" s="123">
        <v>8952</v>
      </c>
      <c r="C158" s="49" t="s">
        <v>329</v>
      </c>
      <c r="D158" s="49" t="s">
        <v>589</v>
      </c>
      <c r="E158" s="50">
        <v>25</v>
      </c>
      <c r="F158" s="116">
        <v>46332</v>
      </c>
    </row>
    <row r="159" spans="1:6" hidden="1" x14ac:dyDescent="0.25">
      <c r="A159" s="62" t="s">
        <v>512</v>
      </c>
      <c r="B159" s="123">
        <v>8952</v>
      </c>
      <c r="C159" s="49" t="s">
        <v>123</v>
      </c>
      <c r="D159" s="49" t="s">
        <v>124</v>
      </c>
      <c r="E159" s="50">
        <v>25</v>
      </c>
      <c r="F159" s="116">
        <v>46332</v>
      </c>
    </row>
    <row r="160" spans="1:6" hidden="1" x14ac:dyDescent="0.25">
      <c r="A160" s="62" t="s">
        <v>512</v>
      </c>
      <c r="B160" s="123">
        <v>8952</v>
      </c>
      <c r="C160" s="49" t="s">
        <v>313</v>
      </c>
      <c r="D160" s="49" t="s">
        <v>644</v>
      </c>
      <c r="E160" s="50">
        <v>25</v>
      </c>
      <c r="F160" s="116">
        <v>46332</v>
      </c>
    </row>
    <row r="161" spans="1:6" hidden="1" x14ac:dyDescent="0.25">
      <c r="A161" s="62" t="s">
        <v>512</v>
      </c>
      <c r="B161" s="123">
        <v>8952</v>
      </c>
      <c r="C161" s="49" t="s">
        <v>312</v>
      </c>
      <c r="D161" s="49" t="s">
        <v>584</v>
      </c>
      <c r="E161" s="50">
        <v>25</v>
      </c>
      <c r="F161" s="116">
        <v>46332</v>
      </c>
    </row>
    <row r="162" spans="1:6" hidden="1" x14ac:dyDescent="0.25">
      <c r="A162" s="62" t="s">
        <v>512</v>
      </c>
      <c r="B162" s="123">
        <v>8952</v>
      </c>
      <c r="C162" s="49" t="s">
        <v>340</v>
      </c>
      <c r="D162" s="49" t="s">
        <v>668</v>
      </c>
      <c r="E162" s="50">
        <v>25</v>
      </c>
      <c r="F162" s="116">
        <v>46332</v>
      </c>
    </row>
    <row r="163" spans="1:6" hidden="1" x14ac:dyDescent="0.25">
      <c r="A163" s="62" t="s">
        <v>512</v>
      </c>
      <c r="B163" s="123">
        <v>8952</v>
      </c>
      <c r="C163" s="49" t="s">
        <v>330</v>
      </c>
      <c r="D163" s="49" t="s">
        <v>669</v>
      </c>
      <c r="E163" s="50">
        <v>25</v>
      </c>
      <c r="F163" s="116">
        <v>46332</v>
      </c>
    </row>
    <row r="164" spans="1:6" hidden="1" x14ac:dyDescent="0.25">
      <c r="A164" s="62" t="s">
        <v>512</v>
      </c>
      <c r="B164" s="123">
        <v>8952</v>
      </c>
      <c r="C164" s="49" t="s">
        <v>61</v>
      </c>
      <c r="D164" s="129" t="s">
        <v>684</v>
      </c>
      <c r="E164" s="50">
        <v>25</v>
      </c>
      <c r="F164" s="116">
        <v>46332</v>
      </c>
    </row>
    <row r="165" spans="1:6" hidden="1" x14ac:dyDescent="0.25">
      <c r="A165" s="62" t="s">
        <v>512</v>
      </c>
      <c r="B165" s="123">
        <v>8952</v>
      </c>
      <c r="C165" s="49" t="s">
        <v>315</v>
      </c>
      <c r="D165" s="49" t="s">
        <v>581</v>
      </c>
      <c r="E165" s="50">
        <v>25</v>
      </c>
      <c r="F165" s="116">
        <v>46332</v>
      </c>
    </row>
    <row r="166" spans="1:6" hidden="1" x14ac:dyDescent="0.25">
      <c r="A166" s="62" t="s">
        <v>512</v>
      </c>
      <c r="B166" s="123">
        <v>8952</v>
      </c>
      <c r="C166" s="49" t="s">
        <v>515</v>
      </c>
      <c r="D166" s="49" t="s">
        <v>586</v>
      </c>
      <c r="E166" s="50">
        <v>25</v>
      </c>
      <c r="F166" s="116">
        <v>46332</v>
      </c>
    </row>
    <row r="167" spans="1:6" hidden="1" x14ac:dyDescent="0.25">
      <c r="A167" s="62" t="s">
        <v>512</v>
      </c>
      <c r="B167" s="123">
        <v>8952</v>
      </c>
      <c r="C167" s="49" t="s">
        <v>153</v>
      </c>
      <c r="D167" s="49" t="s">
        <v>590</v>
      </c>
      <c r="E167" s="50">
        <v>25</v>
      </c>
      <c r="F167" s="116">
        <v>46332</v>
      </c>
    </row>
    <row r="168" spans="1:6" hidden="1" x14ac:dyDescent="0.25">
      <c r="A168" s="62" t="s">
        <v>512</v>
      </c>
      <c r="B168" s="123">
        <v>8952</v>
      </c>
      <c r="C168" s="49" t="s">
        <v>189</v>
      </c>
      <c r="D168" s="49" t="s">
        <v>589</v>
      </c>
      <c r="E168" s="50">
        <v>25</v>
      </c>
      <c r="F168" s="116">
        <v>46332</v>
      </c>
    </row>
    <row r="169" spans="1:6" hidden="1" x14ac:dyDescent="0.25">
      <c r="A169" s="62" t="s">
        <v>512</v>
      </c>
      <c r="B169" s="123">
        <v>8952</v>
      </c>
      <c r="C169" s="49" t="s">
        <v>119</v>
      </c>
      <c r="D169" s="49" t="s">
        <v>670</v>
      </c>
      <c r="E169" s="50">
        <v>25</v>
      </c>
      <c r="F169" s="116">
        <v>46332</v>
      </c>
    </row>
    <row r="170" spans="1:6" hidden="1" x14ac:dyDescent="0.25">
      <c r="A170" s="62" t="s">
        <v>512</v>
      </c>
      <c r="B170" s="123">
        <v>8952</v>
      </c>
      <c r="C170" s="49" t="s">
        <v>313</v>
      </c>
      <c r="D170" s="49" t="s">
        <v>644</v>
      </c>
      <c r="E170" s="50">
        <v>25</v>
      </c>
      <c r="F170" s="116">
        <v>46332</v>
      </c>
    </row>
    <row r="171" spans="1:6" hidden="1" x14ac:dyDescent="0.25">
      <c r="A171" s="62" t="s">
        <v>512</v>
      </c>
      <c r="B171" s="123">
        <v>8952</v>
      </c>
      <c r="C171" s="49" t="s">
        <v>312</v>
      </c>
      <c r="D171" s="49" t="s">
        <v>584</v>
      </c>
      <c r="E171" s="50">
        <v>25</v>
      </c>
      <c r="F171" s="116">
        <v>46332</v>
      </c>
    </row>
    <row r="172" spans="1:6" hidden="1" x14ac:dyDescent="0.25">
      <c r="A172" s="62" t="s">
        <v>512</v>
      </c>
      <c r="B172" s="123">
        <v>8952</v>
      </c>
      <c r="C172" s="49" t="s">
        <v>340</v>
      </c>
      <c r="D172" s="49" t="s">
        <v>668</v>
      </c>
      <c r="E172" s="50">
        <v>25</v>
      </c>
      <c r="F172" s="116">
        <v>46332</v>
      </c>
    </row>
    <row r="173" spans="1:6" hidden="1" x14ac:dyDescent="0.25">
      <c r="A173" s="62" t="s">
        <v>512</v>
      </c>
      <c r="B173" s="123">
        <v>8952</v>
      </c>
      <c r="C173" s="126" t="s">
        <v>131</v>
      </c>
      <c r="D173" s="49" t="s">
        <v>671</v>
      </c>
      <c r="E173" s="50">
        <v>25</v>
      </c>
      <c r="F173" s="116">
        <v>46332</v>
      </c>
    </row>
    <row r="174" spans="1:6" hidden="1" x14ac:dyDescent="0.25">
      <c r="A174" s="62" t="s">
        <v>512</v>
      </c>
      <c r="B174" s="123">
        <v>8952</v>
      </c>
      <c r="C174" s="126" t="s">
        <v>65</v>
      </c>
      <c r="D174" s="49" t="s">
        <v>506</v>
      </c>
      <c r="E174" s="50">
        <v>200</v>
      </c>
      <c r="F174" s="116">
        <v>46332</v>
      </c>
    </row>
    <row r="175" spans="1:6" hidden="1" x14ac:dyDescent="0.25">
      <c r="A175" s="62" t="s">
        <v>512</v>
      </c>
      <c r="B175" s="123">
        <v>8952</v>
      </c>
      <c r="C175" s="126" t="s">
        <v>507</v>
      </c>
      <c r="D175" s="49" t="s">
        <v>508</v>
      </c>
      <c r="E175" s="50">
        <v>300</v>
      </c>
      <c r="F175" s="116">
        <v>46332</v>
      </c>
    </row>
    <row r="176" spans="1:6" hidden="1" x14ac:dyDescent="0.25">
      <c r="A176" s="62" t="s">
        <v>512</v>
      </c>
      <c r="B176" s="123">
        <v>8952</v>
      </c>
      <c r="C176" s="126" t="s">
        <v>509</v>
      </c>
      <c r="D176" s="49" t="s">
        <v>510</v>
      </c>
      <c r="E176" s="50">
        <v>50</v>
      </c>
      <c r="F176" s="116">
        <v>46332</v>
      </c>
    </row>
    <row r="177" spans="1:6" hidden="1" x14ac:dyDescent="0.25">
      <c r="A177" s="62" t="s">
        <v>512</v>
      </c>
      <c r="B177" s="123">
        <v>8952</v>
      </c>
      <c r="C177" s="126" t="s">
        <v>511</v>
      </c>
      <c r="D177" s="49" t="s">
        <v>672</v>
      </c>
      <c r="E177" s="50">
        <v>200</v>
      </c>
      <c r="F177" s="116">
        <v>46332</v>
      </c>
    </row>
    <row r="178" spans="1:6" hidden="1" x14ac:dyDescent="0.25">
      <c r="A178" s="62" t="s">
        <v>512</v>
      </c>
      <c r="B178" s="123">
        <v>8952</v>
      </c>
      <c r="C178" s="126" t="s">
        <v>499</v>
      </c>
      <c r="D178" s="49" t="s">
        <v>639</v>
      </c>
      <c r="E178" s="50">
        <v>50</v>
      </c>
      <c r="F178" s="116">
        <v>46332</v>
      </c>
    </row>
    <row r="179" spans="1:6" hidden="1" x14ac:dyDescent="0.25">
      <c r="A179" s="62" t="s">
        <v>512</v>
      </c>
      <c r="B179" s="123">
        <v>8952</v>
      </c>
      <c r="C179" s="126" t="s">
        <v>511</v>
      </c>
      <c r="D179" s="49" t="s">
        <v>672</v>
      </c>
      <c r="E179" s="50">
        <v>1</v>
      </c>
      <c r="F179" s="116">
        <v>46332</v>
      </c>
    </row>
    <row r="180" spans="1:6" hidden="1" x14ac:dyDescent="0.25">
      <c r="A180" s="62" t="s">
        <v>649</v>
      </c>
      <c r="B180" s="123">
        <v>8814</v>
      </c>
      <c r="C180" s="126" t="s">
        <v>101</v>
      </c>
      <c r="D180" s="129" t="s">
        <v>560</v>
      </c>
      <c r="E180" s="50">
        <v>1</v>
      </c>
      <c r="F180" s="117">
        <v>46332</v>
      </c>
    </row>
    <row r="181" spans="1:6" hidden="1" x14ac:dyDescent="0.25">
      <c r="A181" s="62" t="s">
        <v>649</v>
      </c>
      <c r="B181" s="123">
        <v>8814</v>
      </c>
      <c r="C181" s="126" t="s">
        <v>315</v>
      </c>
      <c r="D181" s="49" t="s">
        <v>581</v>
      </c>
      <c r="E181" s="50">
        <v>1</v>
      </c>
      <c r="F181" s="117">
        <v>46332</v>
      </c>
    </row>
    <row r="182" spans="1:6" hidden="1" x14ac:dyDescent="0.25">
      <c r="A182" s="62" t="s">
        <v>649</v>
      </c>
      <c r="B182" s="123">
        <v>8814</v>
      </c>
      <c r="C182" s="126" t="s">
        <v>51</v>
      </c>
      <c r="D182" s="49" t="s">
        <v>582</v>
      </c>
      <c r="E182" s="50">
        <v>1</v>
      </c>
      <c r="F182" s="117">
        <v>46332</v>
      </c>
    </row>
    <row r="183" spans="1:6" hidden="1" x14ac:dyDescent="0.25">
      <c r="A183" s="62" t="s">
        <v>649</v>
      </c>
      <c r="B183" s="123">
        <v>8814</v>
      </c>
      <c r="C183" s="49" t="s">
        <v>310</v>
      </c>
      <c r="D183" s="49" t="s">
        <v>596</v>
      </c>
      <c r="E183" s="50">
        <v>1</v>
      </c>
      <c r="F183" s="117">
        <v>46332</v>
      </c>
    </row>
    <row r="184" spans="1:6" hidden="1" x14ac:dyDescent="0.25">
      <c r="A184" s="62" t="s">
        <v>649</v>
      </c>
      <c r="B184" s="123">
        <v>8814</v>
      </c>
      <c r="C184" s="49" t="s">
        <v>125</v>
      </c>
      <c r="D184" s="49" t="s">
        <v>673</v>
      </c>
      <c r="E184" s="50">
        <v>1</v>
      </c>
      <c r="F184" s="117">
        <v>46332</v>
      </c>
    </row>
    <row r="185" spans="1:6" hidden="1" x14ac:dyDescent="0.25">
      <c r="A185" s="62" t="s">
        <v>649</v>
      </c>
      <c r="B185" s="123">
        <v>8814</v>
      </c>
      <c r="C185" s="49" t="s">
        <v>107</v>
      </c>
      <c r="D185" s="49" t="s">
        <v>583</v>
      </c>
      <c r="E185" s="50">
        <v>1</v>
      </c>
      <c r="F185" s="117">
        <v>46332</v>
      </c>
    </row>
    <row r="186" spans="1:6" hidden="1" x14ac:dyDescent="0.25">
      <c r="A186" s="62" t="s">
        <v>649</v>
      </c>
      <c r="B186" s="123">
        <v>8814</v>
      </c>
      <c r="C186" s="49" t="s">
        <v>340</v>
      </c>
      <c r="D186" s="49" t="s">
        <v>668</v>
      </c>
      <c r="E186" s="50">
        <v>1</v>
      </c>
      <c r="F186" s="117">
        <v>46332</v>
      </c>
    </row>
    <row r="187" spans="1:6" hidden="1" x14ac:dyDescent="0.25">
      <c r="A187" s="62" t="s">
        <v>649</v>
      </c>
      <c r="B187" s="123">
        <v>8814</v>
      </c>
      <c r="C187" s="49" t="s">
        <v>312</v>
      </c>
      <c r="D187" s="49" t="s">
        <v>584</v>
      </c>
      <c r="E187" s="50">
        <v>1</v>
      </c>
      <c r="F187" s="117">
        <v>46332</v>
      </c>
    </row>
    <row r="188" spans="1:6" hidden="1" x14ac:dyDescent="0.25">
      <c r="A188" s="62" t="s">
        <v>649</v>
      </c>
      <c r="B188" s="123">
        <v>8814</v>
      </c>
      <c r="C188" s="49" t="s">
        <v>313</v>
      </c>
      <c r="D188" s="49" t="s">
        <v>644</v>
      </c>
      <c r="E188" s="50">
        <v>1</v>
      </c>
      <c r="F188" s="117">
        <v>46332</v>
      </c>
    </row>
    <row r="189" spans="1:6" hidden="1" x14ac:dyDescent="0.25">
      <c r="A189" s="62" t="s">
        <v>649</v>
      </c>
      <c r="B189" s="123">
        <v>8814</v>
      </c>
      <c r="C189" s="49" t="s">
        <v>101</v>
      </c>
      <c r="D189" s="129" t="s">
        <v>560</v>
      </c>
      <c r="E189" s="50">
        <v>1</v>
      </c>
      <c r="F189" s="117">
        <v>46332</v>
      </c>
    </row>
    <row r="190" spans="1:6" hidden="1" x14ac:dyDescent="0.25">
      <c r="A190" s="62" t="s">
        <v>649</v>
      </c>
      <c r="B190" s="123">
        <v>8814</v>
      </c>
      <c r="C190" s="49" t="s">
        <v>315</v>
      </c>
      <c r="D190" s="49" t="s">
        <v>581</v>
      </c>
      <c r="E190" s="50">
        <v>1</v>
      </c>
      <c r="F190" s="117">
        <v>46332</v>
      </c>
    </row>
    <row r="191" spans="1:6" hidden="1" x14ac:dyDescent="0.25">
      <c r="A191" s="62" t="s">
        <v>649</v>
      </c>
      <c r="B191" s="123">
        <v>8814</v>
      </c>
      <c r="C191" s="49" t="s">
        <v>51</v>
      </c>
      <c r="D191" s="49" t="s">
        <v>582</v>
      </c>
      <c r="E191" s="50">
        <v>1</v>
      </c>
      <c r="F191" s="117">
        <v>46332</v>
      </c>
    </row>
    <row r="192" spans="1:6" hidden="1" x14ac:dyDescent="0.25">
      <c r="A192" s="62" t="s">
        <v>649</v>
      </c>
      <c r="B192" s="123">
        <v>8814</v>
      </c>
      <c r="C192" s="49" t="s">
        <v>310</v>
      </c>
      <c r="D192" s="49" t="s">
        <v>596</v>
      </c>
      <c r="E192" s="50">
        <v>1</v>
      </c>
      <c r="F192" s="117">
        <v>46332</v>
      </c>
    </row>
    <row r="193" spans="1:6" hidden="1" x14ac:dyDescent="0.25">
      <c r="A193" s="62" t="s">
        <v>649</v>
      </c>
      <c r="B193" s="123">
        <v>8814</v>
      </c>
      <c r="C193" s="49" t="s">
        <v>125</v>
      </c>
      <c r="D193" s="49" t="s">
        <v>673</v>
      </c>
      <c r="E193" s="50">
        <v>1</v>
      </c>
      <c r="F193" s="117">
        <v>46332</v>
      </c>
    </row>
    <row r="194" spans="1:6" hidden="1" x14ac:dyDescent="0.25">
      <c r="A194" s="62" t="s">
        <v>649</v>
      </c>
      <c r="B194" s="123">
        <v>8814</v>
      </c>
      <c r="C194" s="49" t="s">
        <v>107</v>
      </c>
      <c r="D194" s="49" t="s">
        <v>583</v>
      </c>
      <c r="E194" s="50">
        <v>1</v>
      </c>
      <c r="F194" s="117">
        <v>46332</v>
      </c>
    </row>
    <row r="195" spans="1:6" hidden="1" x14ac:dyDescent="0.25">
      <c r="A195" s="62" t="s">
        <v>649</v>
      </c>
      <c r="B195" s="123">
        <v>8814</v>
      </c>
      <c r="C195" s="49" t="s">
        <v>340</v>
      </c>
      <c r="D195" s="49" t="s">
        <v>668</v>
      </c>
      <c r="E195" s="50">
        <v>1</v>
      </c>
      <c r="F195" s="117">
        <v>46332</v>
      </c>
    </row>
    <row r="196" spans="1:6" hidden="1" x14ac:dyDescent="0.25">
      <c r="A196" s="62" t="s">
        <v>649</v>
      </c>
      <c r="B196" s="123">
        <v>8814</v>
      </c>
      <c r="C196" s="49" t="s">
        <v>312</v>
      </c>
      <c r="D196" s="49" t="s">
        <v>584</v>
      </c>
      <c r="E196" s="50">
        <v>1</v>
      </c>
      <c r="F196" s="117">
        <v>46332</v>
      </c>
    </row>
    <row r="197" spans="1:6" hidden="1" x14ac:dyDescent="0.25">
      <c r="A197" s="62" t="s">
        <v>649</v>
      </c>
      <c r="B197" s="123">
        <v>8814</v>
      </c>
      <c r="C197" s="49" t="s">
        <v>313</v>
      </c>
      <c r="D197" s="49" t="s">
        <v>644</v>
      </c>
      <c r="E197" s="50">
        <v>1</v>
      </c>
      <c r="F197" s="117">
        <v>46332</v>
      </c>
    </row>
    <row r="198" spans="1:6" hidden="1" x14ac:dyDescent="0.25">
      <c r="A198" s="62" t="s">
        <v>559</v>
      </c>
      <c r="B198" s="124">
        <v>9143</v>
      </c>
      <c r="C198" s="49" t="s">
        <v>548</v>
      </c>
      <c r="D198" s="49" t="s">
        <v>615</v>
      </c>
      <c r="E198" s="50">
        <v>6</v>
      </c>
      <c r="F198" s="117">
        <v>46332</v>
      </c>
    </row>
    <row r="199" spans="1:6" hidden="1" x14ac:dyDescent="0.25">
      <c r="A199" s="62" t="s">
        <v>559</v>
      </c>
      <c r="B199" s="124">
        <v>9143</v>
      </c>
      <c r="C199" s="49" t="s">
        <v>75</v>
      </c>
      <c r="D199" s="49" t="s">
        <v>76</v>
      </c>
      <c r="E199" s="64">
        <v>5</v>
      </c>
      <c r="F199" s="117">
        <v>46332</v>
      </c>
    </row>
    <row r="200" spans="1:6" hidden="1" x14ac:dyDescent="0.25">
      <c r="A200" s="62" t="s">
        <v>559</v>
      </c>
      <c r="B200" s="124">
        <v>9143</v>
      </c>
      <c r="C200" s="49" t="s">
        <v>77</v>
      </c>
      <c r="D200" s="49" t="s">
        <v>78</v>
      </c>
      <c r="E200" s="50">
        <v>5</v>
      </c>
      <c r="F200" s="117">
        <v>46332</v>
      </c>
    </row>
    <row r="201" spans="1:6" hidden="1" x14ac:dyDescent="0.25">
      <c r="A201" s="62" t="s">
        <v>559</v>
      </c>
      <c r="B201" s="124">
        <v>9143</v>
      </c>
      <c r="C201" s="49" t="s">
        <v>549</v>
      </c>
      <c r="D201" s="49" t="s">
        <v>550</v>
      </c>
      <c r="E201" s="50">
        <v>2</v>
      </c>
      <c r="F201" s="117">
        <v>46332</v>
      </c>
    </row>
    <row r="202" spans="1:6" hidden="1" x14ac:dyDescent="0.25">
      <c r="A202" s="62" t="s">
        <v>559</v>
      </c>
      <c r="B202" s="124">
        <v>9143</v>
      </c>
      <c r="C202" s="49" t="s">
        <v>211</v>
      </c>
      <c r="D202" s="49" t="s">
        <v>681</v>
      </c>
      <c r="E202" s="50">
        <v>2</v>
      </c>
      <c r="F202" s="117">
        <v>46332</v>
      </c>
    </row>
    <row r="203" spans="1:6" hidden="1" x14ac:dyDescent="0.25">
      <c r="A203" s="62" t="s">
        <v>559</v>
      </c>
      <c r="B203" s="124">
        <v>9143</v>
      </c>
      <c r="C203" s="49" t="s">
        <v>477</v>
      </c>
      <c r="D203" s="129" t="s">
        <v>494</v>
      </c>
      <c r="E203" s="50">
        <v>5</v>
      </c>
      <c r="F203" s="117">
        <v>46332</v>
      </c>
    </row>
    <row r="204" spans="1:6" hidden="1" x14ac:dyDescent="0.25">
      <c r="A204" s="62" t="s">
        <v>559</v>
      </c>
      <c r="B204" s="124">
        <v>9143</v>
      </c>
      <c r="C204" s="49" t="s">
        <v>516</v>
      </c>
      <c r="D204" s="49" t="s">
        <v>674</v>
      </c>
      <c r="E204" s="50">
        <v>5</v>
      </c>
      <c r="F204" s="117">
        <v>46332</v>
      </c>
    </row>
    <row r="205" spans="1:6" hidden="1" x14ac:dyDescent="0.25">
      <c r="A205" s="62" t="s">
        <v>559</v>
      </c>
      <c r="B205" s="124">
        <v>9143</v>
      </c>
      <c r="C205" s="49" t="s">
        <v>139</v>
      </c>
      <c r="D205" s="49" t="s">
        <v>675</v>
      </c>
      <c r="E205" s="50">
        <v>5</v>
      </c>
      <c r="F205" s="117">
        <v>46332</v>
      </c>
    </row>
    <row r="206" spans="1:6" hidden="1" x14ac:dyDescent="0.25">
      <c r="A206" s="62" t="s">
        <v>559</v>
      </c>
      <c r="B206" s="124">
        <v>9143</v>
      </c>
      <c r="C206" s="49" t="s">
        <v>517</v>
      </c>
      <c r="D206" s="49" t="s">
        <v>591</v>
      </c>
      <c r="E206" s="50">
        <v>5</v>
      </c>
      <c r="F206" s="117">
        <v>46332</v>
      </c>
    </row>
    <row r="207" spans="1:6" hidden="1" x14ac:dyDescent="0.25">
      <c r="A207" s="62" t="s">
        <v>559</v>
      </c>
      <c r="B207" s="124">
        <v>9143</v>
      </c>
      <c r="C207" s="49" t="s">
        <v>340</v>
      </c>
      <c r="D207" s="49" t="s">
        <v>668</v>
      </c>
      <c r="E207" s="50">
        <v>5</v>
      </c>
      <c r="F207" s="117">
        <v>46332</v>
      </c>
    </row>
    <row r="208" spans="1:6" hidden="1" x14ac:dyDescent="0.25">
      <c r="A208" s="62" t="s">
        <v>559</v>
      </c>
      <c r="B208" s="124">
        <v>9143</v>
      </c>
      <c r="C208" s="49" t="s">
        <v>303</v>
      </c>
      <c r="D208" s="49" t="s">
        <v>304</v>
      </c>
      <c r="E208" s="50">
        <v>5</v>
      </c>
      <c r="F208" s="117">
        <v>46332</v>
      </c>
    </row>
    <row r="209" spans="1:6" hidden="1" x14ac:dyDescent="0.25">
      <c r="A209" s="62" t="s">
        <v>559</v>
      </c>
      <c r="B209" s="124">
        <v>9143</v>
      </c>
      <c r="C209" s="49" t="s">
        <v>513</v>
      </c>
      <c r="D209" s="49" t="s">
        <v>676</v>
      </c>
      <c r="E209" s="50">
        <v>5</v>
      </c>
      <c r="F209" s="117">
        <v>46332</v>
      </c>
    </row>
    <row r="210" spans="1:6" hidden="1" x14ac:dyDescent="0.25">
      <c r="A210" s="62" t="s">
        <v>559</v>
      </c>
      <c r="B210" s="124">
        <v>9143</v>
      </c>
      <c r="C210" s="49" t="s">
        <v>514</v>
      </c>
      <c r="D210" s="49" t="s">
        <v>677</v>
      </c>
      <c r="E210" s="50">
        <v>5</v>
      </c>
      <c r="F210" s="117">
        <v>46332</v>
      </c>
    </row>
    <row r="211" spans="1:6" hidden="1" x14ac:dyDescent="0.25">
      <c r="A211" s="62" t="s">
        <v>559</v>
      </c>
      <c r="B211" s="124">
        <v>9143</v>
      </c>
      <c r="C211" s="49" t="s">
        <v>340</v>
      </c>
      <c r="D211" s="49" t="s">
        <v>668</v>
      </c>
      <c r="E211" s="50">
        <v>5</v>
      </c>
      <c r="F211" s="117">
        <v>46332</v>
      </c>
    </row>
    <row r="212" spans="1:6" hidden="1" x14ac:dyDescent="0.25">
      <c r="A212" s="62" t="s">
        <v>559</v>
      </c>
      <c r="B212" s="124">
        <v>9143</v>
      </c>
      <c r="C212" s="49" t="s">
        <v>309</v>
      </c>
      <c r="D212" s="49" t="s">
        <v>585</v>
      </c>
      <c r="E212" s="50">
        <v>5</v>
      </c>
      <c r="F212" s="117">
        <v>46332</v>
      </c>
    </row>
    <row r="213" spans="1:6" hidden="1" x14ac:dyDescent="0.25">
      <c r="A213" s="62" t="s">
        <v>559</v>
      </c>
      <c r="B213" s="124">
        <v>9143</v>
      </c>
      <c r="C213" s="49" t="s">
        <v>310</v>
      </c>
      <c r="D213" s="49" t="s">
        <v>596</v>
      </c>
      <c r="E213" s="50">
        <v>5</v>
      </c>
      <c r="F213" s="117">
        <v>46332</v>
      </c>
    </row>
    <row r="214" spans="1:6" hidden="1" x14ac:dyDescent="0.25">
      <c r="A214" s="62" t="s">
        <v>559</v>
      </c>
      <c r="B214" s="124">
        <v>9143</v>
      </c>
      <c r="C214" s="49" t="s">
        <v>312</v>
      </c>
      <c r="D214" s="49" t="s">
        <v>584</v>
      </c>
      <c r="E214" s="50">
        <v>5</v>
      </c>
      <c r="F214" s="117">
        <v>46332</v>
      </c>
    </row>
    <row r="215" spans="1:6" hidden="1" x14ac:dyDescent="0.25">
      <c r="A215" s="62" t="s">
        <v>559</v>
      </c>
      <c r="B215" s="124">
        <v>9143</v>
      </c>
      <c r="C215" s="49" t="s">
        <v>313</v>
      </c>
      <c r="D215" s="49" t="s">
        <v>644</v>
      </c>
      <c r="E215" s="50">
        <v>5</v>
      </c>
      <c r="F215" s="117">
        <v>46332</v>
      </c>
    </row>
    <row r="216" spans="1:6" hidden="1" x14ac:dyDescent="0.25">
      <c r="A216" s="62" t="s">
        <v>559</v>
      </c>
      <c r="B216" s="124">
        <v>9143</v>
      </c>
      <c r="C216" s="49" t="s">
        <v>101</v>
      </c>
      <c r="D216" s="129" t="s">
        <v>560</v>
      </c>
      <c r="E216" s="50">
        <v>5</v>
      </c>
      <c r="F216" s="117">
        <v>46332</v>
      </c>
    </row>
    <row r="217" spans="1:6" hidden="1" x14ac:dyDescent="0.25">
      <c r="A217" s="62" t="s">
        <v>559</v>
      </c>
      <c r="B217" s="124">
        <v>9143</v>
      </c>
      <c r="C217" s="49" t="s">
        <v>315</v>
      </c>
      <c r="D217" s="49" t="s">
        <v>581</v>
      </c>
      <c r="E217" s="50">
        <v>5</v>
      </c>
      <c r="F217" s="117">
        <v>46332</v>
      </c>
    </row>
    <row r="218" spans="1:6" hidden="1" x14ac:dyDescent="0.25">
      <c r="A218" s="62" t="s">
        <v>559</v>
      </c>
      <c r="B218" s="124">
        <v>9143</v>
      </c>
      <c r="C218" s="49" t="s">
        <v>51</v>
      </c>
      <c r="D218" s="49" t="s">
        <v>582</v>
      </c>
      <c r="E218" s="50">
        <v>5</v>
      </c>
      <c r="F218" s="117">
        <v>46332</v>
      </c>
    </row>
    <row r="219" spans="1:6" hidden="1" x14ac:dyDescent="0.25">
      <c r="A219" s="62" t="s">
        <v>559</v>
      </c>
      <c r="B219" s="124">
        <v>9143</v>
      </c>
      <c r="C219" s="49" t="s">
        <v>310</v>
      </c>
      <c r="D219" s="49" t="s">
        <v>596</v>
      </c>
      <c r="E219" s="50">
        <v>5</v>
      </c>
      <c r="F219" s="117">
        <v>46332</v>
      </c>
    </row>
    <row r="220" spans="1:6" hidden="1" x14ac:dyDescent="0.25">
      <c r="A220" s="62" t="s">
        <v>559</v>
      </c>
      <c r="B220" s="124">
        <v>9143</v>
      </c>
      <c r="C220" s="49" t="s">
        <v>125</v>
      </c>
      <c r="D220" s="49" t="s">
        <v>673</v>
      </c>
      <c r="E220" s="50">
        <v>5</v>
      </c>
      <c r="F220" s="117">
        <v>46332</v>
      </c>
    </row>
    <row r="221" spans="1:6" hidden="1" x14ac:dyDescent="0.25">
      <c r="A221" s="62" t="s">
        <v>559</v>
      </c>
      <c r="B221" s="124">
        <v>9143</v>
      </c>
      <c r="C221" s="49" t="s">
        <v>107</v>
      </c>
      <c r="D221" s="49" t="s">
        <v>583</v>
      </c>
      <c r="E221" s="50">
        <v>5</v>
      </c>
      <c r="F221" s="117">
        <v>46332</v>
      </c>
    </row>
    <row r="222" spans="1:6" hidden="1" x14ac:dyDescent="0.25">
      <c r="A222" s="62" t="s">
        <v>559</v>
      </c>
      <c r="B222" s="124">
        <v>9143</v>
      </c>
      <c r="C222" s="49" t="s">
        <v>340</v>
      </c>
      <c r="D222" s="49" t="s">
        <v>668</v>
      </c>
      <c r="E222" s="50">
        <v>5</v>
      </c>
      <c r="F222" s="117">
        <v>46332</v>
      </c>
    </row>
    <row r="223" spans="1:6" hidden="1" x14ac:dyDescent="0.25">
      <c r="A223" s="62" t="s">
        <v>559</v>
      </c>
      <c r="B223" s="124">
        <v>9143</v>
      </c>
      <c r="C223" s="49" t="s">
        <v>312</v>
      </c>
      <c r="D223" s="49" t="s">
        <v>584</v>
      </c>
      <c r="E223" s="50">
        <v>5</v>
      </c>
      <c r="F223" s="117">
        <v>46332</v>
      </c>
    </row>
    <row r="224" spans="1:6" hidden="1" x14ac:dyDescent="0.25">
      <c r="A224" s="62" t="s">
        <v>559</v>
      </c>
      <c r="B224" s="124">
        <v>9143</v>
      </c>
      <c r="C224" s="49" t="s">
        <v>313</v>
      </c>
      <c r="D224" s="49" t="s">
        <v>644</v>
      </c>
      <c r="E224" s="50">
        <v>5</v>
      </c>
      <c r="F224" s="117">
        <v>46332</v>
      </c>
    </row>
    <row r="225" spans="1:6" hidden="1" x14ac:dyDescent="0.25">
      <c r="A225" s="62" t="s">
        <v>559</v>
      </c>
      <c r="B225" s="124">
        <v>9143</v>
      </c>
      <c r="C225" s="49" t="s">
        <v>61</v>
      </c>
      <c r="D225" s="129" t="s">
        <v>684</v>
      </c>
      <c r="E225" s="50">
        <v>5</v>
      </c>
      <c r="F225" s="117">
        <v>46332</v>
      </c>
    </row>
    <row r="226" spans="1:6" hidden="1" x14ac:dyDescent="0.25">
      <c r="A226" s="62" t="s">
        <v>559</v>
      </c>
      <c r="B226" s="124">
        <v>9143</v>
      </c>
      <c r="C226" s="49" t="s">
        <v>315</v>
      </c>
      <c r="D226" s="49" t="s">
        <v>581</v>
      </c>
      <c r="E226" s="50">
        <v>5</v>
      </c>
      <c r="F226" s="117">
        <v>46332</v>
      </c>
    </row>
    <row r="227" spans="1:6" hidden="1" x14ac:dyDescent="0.25">
      <c r="A227" s="62" t="s">
        <v>559</v>
      </c>
      <c r="B227" s="124">
        <v>9143</v>
      </c>
      <c r="C227" s="49" t="s">
        <v>515</v>
      </c>
      <c r="D227" s="49" t="s">
        <v>586</v>
      </c>
      <c r="E227" s="50">
        <v>5</v>
      </c>
      <c r="F227" s="117">
        <v>46332</v>
      </c>
    </row>
    <row r="228" spans="1:6" hidden="1" x14ac:dyDescent="0.25">
      <c r="A228" s="62" t="s">
        <v>559</v>
      </c>
      <c r="B228" s="124">
        <v>9143</v>
      </c>
      <c r="C228" s="49" t="s">
        <v>153</v>
      </c>
      <c r="D228" s="49" t="s">
        <v>590</v>
      </c>
      <c r="E228" s="50">
        <v>5</v>
      </c>
      <c r="F228" s="117">
        <v>46332</v>
      </c>
    </row>
    <row r="229" spans="1:6" hidden="1" x14ac:dyDescent="0.25">
      <c r="A229" s="62" t="s">
        <v>559</v>
      </c>
      <c r="B229" s="124">
        <v>9143</v>
      </c>
      <c r="C229" s="49" t="s">
        <v>189</v>
      </c>
      <c r="D229" s="49" t="s">
        <v>589</v>
      </c>
      <c r="E229" s="50">
        <v>5</v>
      </c>
      <c r="F229" s="117">
        <v>46332</v>
      </c>
    </row>
    <row r="230" spans="1:6" hidden="1" x14ac:dyDescent="0.25">
      <c r="A230" s="62" t="s">
        <v>559</v>
      </c>
      <c r="B230" s="124">
        <v>9143</v>
      </c>
      <c r="C230" s="49" t="s">
        <v>119</v>
      </c>
      <c r="D230" s="49" t="s">
        <v>670</v>
      </c>
      <c r="E230" s="50">
        <v>5</v>
      </c>
      <c r="F230" s="117">
        <v>46332</v>
      </c>
    </row>
    <row r="231" spans="1:6" hidden="1" x14ac:dyDescent="0.25">
      <c r="A231" s="62" t="s">
        <v>559</v>
      </c>
      <c r="B231" s="124">
        <v>9143</v>
      </c>
      <c r="C231" s="49" t="s">
        <v>313</v>
      </c>
      <c r="D231" s="49" t="s">
        <v>644</v>
      </c>
      <c r="E231" s="50">
        <v>5</v>
      </c>
      <c r="F231" s="117">
        <v>46332</v>
      </c>
    </row>
    <row r="232" spans="1:6" hidden="1" x14ac:dyDescent="0.25">
      <c r="A232" s="62" t="s">
        <v>559</v>
      </c>
      <c r="B232" s="124">
        <v>9143</v>
      </c>
      <c r="C232" s="49" t="s">
        <v>312</v>
      </c>
      <c r="D232" s="49" t="s">
        <v>584</v>
      </c>
      <c r="E232" s="50">
        <v>5</v>
      </c>
      <c r="F232" s="117">
        <v>46332</v>
      </c>
    </row>
    <row r="233" spans="1:6" hidden="1" x14ac:dyDescent="0.25">
      <c r="A233" s="62" t="s">
        <v>559</v>
      </c>
      <c r="B233" s="124">
        <v>9143</v>
      </c>
      <c r="C233" s="49" t="s">
        <v>340</v>
      </c>
      <c r="D233" s="49" t="s">
        <v>668</v>
      </c>
      <c r="E233" s="50">
        <v>5</v>
      </c>
      <c r="F233" s="117">
        <v>46332</v>
      </c>
    </row>
    <row r="234" spans="1:6" hidden="1" x14ac:dyDescent="0.25">
      <c r="A234" s="62" t="s">
        <v>559</v>
      </c>
      <c r="B234" s="124">
        <v>9143</v>
      </c>
      <c r="C234" s="49" t="s">
        <v>131</v>
      </c>
      <c r="D234" s="49" t="s">
        <v>671</v>
      </c>
      <c r="E234" s="50">
        <v>5</v>
      </c>
      <c r="F234" s="117">
        <v>46332</v>
      </c>
    </row>
    <row r="235" spans="1:6" hidden="1" x14ac:dyDescent="0.25">
      <c r="A235" s="62" t="s">
        <v>559</v>
      </c>
      <c r="B235" s="124">
        <v>9143</v>
      </c>
      <c r="C235" s="49" t="s">
        <v>551</v>
      </c>
      <c r="D235" s="49" t="s">
        <v>552</v>
      </c>
      <c r="E235" s="50">
        <v>1</v>
      </c>
      <c r="F235" s="117">
        <v>46332</v>
      </c>
    </row>
    <row r="236" spans="1:6" hidden="1" x14ac:dyDescent="0.25">
      <c r="A236" s="62" t="s">
        <v>559</v>
      </c>
      <c r="B236" s="124">
        <v>9143</v>
      </c>
      <c r="C236" s="49" t="s">
        <v>503</v>
      </c>
      <c r="D236" s="49" t="s">
        <v>663</v>
      </c>
      <c r="E236" s="50">
        <v>2</v>
      </c>
      <c r="F236" s="117">
        <v>46332</v>
      </c>
    </row>
    <row r="237" spans="1:6" hidden="1" x14ac:dyDescent="0.25">
      <c r="A237" s="62" t="s">
        <v>559</v>
      </c>
      <c r="B237" s="124">
        <v>9143</v>
      </c>
      <c r="C237" s="49" t="s">
        <v>553</v>
      </c>
      <c r="D237" s="49" t="s">
        <v>284</v>
      </c>
      <c r="E237" s="50">
        <v>1</v>
      </c>
      <c r="F237" s="117">
        <v>46332</v>
      </c>
    </row>
    <row r="238" spans="1:6" hidden="1" x14ac:dyDescent="0.25">
      <c r="A238" s="62" t="s">
        <v>559</v>
      </c>
      <c r="B238" s="124">
        <v>9143</v>
      </c>
      <c r="C238" s="49" t="s">
        <v>554</v>
      </c>
      <c r="D238" s="49" t="s">
        <v>594</v>
      </c>
      <c r="E238" s="50">
        <v>1</v>
      </c>
      <c r="F238" s="117">
        <v>46332</v>
      </c>
    </row>
    <row r="239" spans="1:6" hidden="1" x14ac:dyDescent="0.25">
      <c r="A239" s="62" t="s">
        <v>559</v>
      </c>
      <c r="B239" s="124">
        <v>9143</v>
      </c>
      <c r="C239" s="49" t="s">
        <v>555</v>
      </c>
      <c r="D239" s="49" t="s">
        <v>642</v>
      </c>
      <c r="E239" s="50">
        <v>1</v>
      </c>
      <c r="F239" s="117">
        <v>46332</v>
      </c>
    </row>
    <row r="240" spans="1:6" hidden="1" x14ac:dyDescent="0.25">
      <c r="A240" s="62" t="s">
        <v>559</v>
      </c>
      <c r="B240" s="124">
        <v>9143</v>
      </c>
      <c r="C240" s="49" t="s">
        <v>499</v>
      </c>
      <c r="D240" s="49" t="s">
        <v>639</v>
      </c>
      <c r="E240" s="50">
        <v>1</v>
      </c>
      <c r="F240" s="117">
        <v>46332</v>
      </c>
    </row>
    <row r="241" spans="1:6" hidden="1" x14ac:dyDescent="0.25">
      <c r="A241" s="62" t="s">
        <v>559</v>
      </c>
      <c r="B241" s="124">
        <v>9143</v>
      </c>
      <c r="C241" s="49" t="s">
        <v>500</v>
      </c>
      <c r="D241" s="49" t="s">
        <v>593</v>
      </c>
      <c r="E241" s="50">
        <v>1</v>
      </c>
      <c r="F241" s="117">
        <v>46332</v>
      </c>
    </row>
    <row r="242" spans="1:6" hidden="1" x14ac:dyDescent="0.25">
      <c r="A242" s="62" t="s">
        <v>559</v>
      </c>
      <c r="B242" s="124">
        <v>9143</v>
      </c>
      <c r="C242" s="49" t="s">
        <v>501</v>
      </c>
      <c r="D242" s="49" t="s">
        <v>638</v>
      </c>
      <c r="E242" s="50">
        <v>1</v>
      </c>
      <c r="F242" s="117">
        <v>46332</v>
      </c>
    </row>
    <row r="243" spans="1:6" hidden="1" x14ac:dyDescent="0.25">
      <c r="A243" s="62" t="s">
        <v>559</v>
      </c>
      <c r="B243" s="124">
        <v>9143</v>
      </c>
      <c r="C243" s="49" t="s">
        <v>556</v>
      </c>
      <c r="D243" s="49" t="s">
        <v>678</v>
      </c>
      <c r="E243" s="50">
        <v>1</v>
      </c>
      <c r="F243" s="117">
        <v>46332</v>
      </c>
    </row>
    <row r="244" spans="1:6" hidden="1" x14ac:dyDescent="0.25">
      <c r="A244" s="62" t="s">
        <v>559</v>
      </c>
      <c r="B244" s="124">
        <v>9143</v>
      </c>
      <c r="C244" s="49" t="s">
        <v>500</v>
      </c>
      <c r="D244" s="49" t="s">
        <v>593</v>
      </c>
      <c r="E244" s="50">
        <v>1</v>
      </c>
      <c r="F244" s="117">
        <v>46332</v>
      </c>
    </row>
    <row r="245" spans="1:6" hidden="1" x14ac:dyDescent="0.25">
      <c r="A245" s="62" t="s">
        <v>559</v>
      </c>
      <c r="B245" s="124">
        <v>9143</v>
      </c>
      <c r="C245" s="126" t="s">
        <v>557</v>
      </c>
      <c r="D245" s="49" t="s">
        <v>679</v>
      </c>
      <c r="E245" s="50">
        <v>1</v>
      </c>
      <c r="F245" s="117">
        <v>46332</v>
      </c>
    </row>
    <row r="246" spans="1:6" hidden="1" x14ac:dyDescent="0.25">
      <c r="A246" s="62" t="s">
        <v>559</v>
      </c>
      <c r="B246" s="124">
        <v>9143</v>
      </c>
      <c r="C246" s="126" t="s">
        <v>501</v>
      </c>
      <c r="D246" s="49" t="s">
        <v>638</v>
      </c>
      <c r="E246" s="50">
        <v>1</v>
      </c>
      <c r="F246" s="117">
        <v>46332</v>
      </c>
    </row>
    <row r="247" spans="1:6" hidden="1" x14ac:dyDescent="0.25">
      <c r="A247" s="62" t="s">
        <v>559</v>
      </c>
      <c r="B247" s="124">
        <v>9143</v>
      </c>
      <c r="C247" s="126" t="s">
        <v>558</v>
      </c>
      <c r="D247" s="49" t="s">
        <v>595</v>
      </c>
      <c r="E247" s="50">
        <v>2</v>
      </c>
      <c r="F247" s="117">
        <v>46332</v>
      </c>
    </row>
    <row r="248" spans="1:6" hidden="1" x14ac:dyDescent="0.25">
      <c r="A248" s="62" t="s">
        <v>559</v>
      </c>
      <c r="B248" s="124">
        <v>9143</v>
      </c>
      <c r="C248" s="126" t="s">
        <v>502</v>
      </c>
      <c r="D248" s="49" t="s">
        <v>662</v>
      </c>
      <c r="E248" s="50">
        <v>2</v>
      </c>
      <c r="F248" s="117">
        <v>46332</v>
      </c>
    </row>
    <row r="249" spans="1:6" hidden="1" x14ac:dyDescent="0.25">
      <c r="A249" s="62" t="s">
        <v>547</v>
      </c>
      <c r="B249" s="123">
        <v>9160</v>
      </c>
      <c r="C249" s="126" t="s">
        <v>537</v>
      </c>
      <c r="D249" s="49" t="s">
        <v>538</v>
      </c>
      <c r="E249" s="50">
        <v>5</v>
      </c>
      <c r="F249" s="117">
        <v>46332</v>
      </c>
    </row>
    <row r="250" spans="1:6" hidden="1" x14ac:dyDescent="0.25">
      <c r="A250" s="62" t="s">
        <v>547</v>
      </c>
      <c r="B250" s="123">
        <v>9160</v>
      </c>
      <c r="C250" s="49" t="s">
        <v>539</v>
      </c>
      <c r="D250" s="49" t="s">
        <v>650</v>
      </c>
      <c r="E250" s="50">
        <v>5</v>
      </c>
      <c r="F250" s="117">
        <v>46332</v>
      </c>
    </row>
    <row r="251" spans="1:6" hidden="1" x14ac:dyDescent="0.25">
      <c r="A251" s="62" t="s">
        <v>547</v>
      </c>
      <c r="B251" s="123">
        <v>9160</v>
      </c>
      <c r="C251" s="126" t="s">
        <v>540</v>
      </c>
      <c r="D251" s="49" t="s">
        <v>541</v>
      </c>
      <c r="E251" s="50">
        <v>5</v>
      </c>
      <c r="F251" s="117">
        <v>46332</v>
      </c>
    </row>
    <row r="252" spans="1:6" hidden="1" x14ac:dyDescent="0.25">
      <c r="A252" s="62" t="s">
        <v>547</v>
      </c>
      <c r="B252" s="123">
        <v>9160</v>
      </c>
      <c r="C252" s="126" t="s">
        <v>542</v>
      </c>
      <c r="D252" s="49" t="s">
        <v>646</v>
      </c>
      <c r="E252" s="50">
        <v>5</v>
      </c>
      <c r="F252" s="117">
        <v>46332</v>
      </c>
    </row>
    <row r="253" spans="1:6" hidden="1" x14ac:dyDescent="0.25">
      <c r="A253" s="62" t="s">
        <v>547</v>
      </c>
      <c r="B253" s="123">
        <v>9160</v>
      </c>
      <c r="C253" s="126" t="s">
        <v>543</v>
      </c>
      <c r="D253" s="49" t="s">
        <v>544</v>
      </c>
      <c r="E253" s="50">
        <v>5</v>
      </c>
      <c r="F253" s="117">
        <v>46332</v>
      </c>
    </row>
    <row r="254" spans="1:6" hidden="1" x14ac:dyDescent="0.25">
      <c r="A254" s="62" t="s">
        <v>547</v>
      </c>
      <c r="B254" s="123">
        <v>9160</v>
      </c>
      <c r="C254" s="126" t="s">
        <v>545</v>
      </c>
      <c r="D254" s="49" t="s">
        <v>546</v>
      </c>
      <c r="E254" s="50">
        <v>5</v>
      </c>
      <c r="F254" s="117">
        <v>46332</v>
      </c>
    </row>
    <row r="255" spans="1:6" hidden="1" x14ac:dyDescent="0.25">
      <c r="A255" s="62" t="s">
        <v>651</v>
      </c>
      <c r="B255" s="123">
        <v>9164</v>
      </c>
      <c r="C255" s="49" t="s">
        <v>125</v>
      </c>
      <c r="D255" s="49" t="s">
        <v>673</v>
      </c>
      <c r="E255" s="50">
        <v>200</v>
      </c>
      <c r="F255" s="117">
        <v>46339</v>
      </c>
    </row>
    <row r="256" spans="1:6" hidden="1" x14ac:dyDescent="0.25">
      <c r="A256" s="62" t="s">
        <v>651</v>
      </c>
      <c r="B256" s="123">
        <v>9164</v>
      </c>
      <c r="C256" s="49" t="s">
        <v>129</v>
      </c>
      <c r="D256" s="49" t="s">
        <v>130</v>
      </c>
      <c r="E256" s="50">
        <v>200</v>
      </c>
      <c r="F256" s="117">
        <v>46339</v>
      </c>
    </row>
    <row r="257" spans="1:6" hidden="1" x14ac:dyDescent="0.25">
      <c r="A257" s="62" t="s">
        <v>651</v>
      </c>
      <c r="B257" s="123">
        <v>9164</v>
      </c>
      <c r="C257" s="49" t="s">
        <v>33</v>
      </c>
      <c r="D257" s="129" t="s">
        <v>34</v>
      </c>
      <c r="E257" s="50">
        <v>200</v>
      </c>
      <c r="F257" s="117">
        <v>46339</v>
      </c>
    </row>
    <row r="258" spans="1:6" hidden="1" x14ac:dyDescent="0.25">
      <c r="A258" s="62" t="s">
        <v>651</v>
      </c>
      <c r="B258" s="123">
        <v>9164</v>
      </c>
      <c r="C258" s="49" t="s">
        <v>119</v>
      </c>
      <c r="D258" s="49" t="s">
        <v>670</v>
      </c>
      <c r="E258" s="50">
        <v>200</v>
      </c>
      <c r="F258" s="117">
        <v>46339</v>
      </c>
    </row>
    <row r="259" spans="1:6" hidden="1" x14ac:dyDescent="0.25">
      <c r="A259" s="62" t="s">
        <v>651</v>
      </c>
      <c r="B259" s="123">
        <v>9164</v>
      </c>
      <c r="C259" s="49" t="s">
        <v>465</v>
      </c>
      <c r="D259" s="49" t="s">
        <v>466</v>
      </c>
      <c r="E259" s="50">
        <v>200</v>
      </c>
      <c r="F259" s="117">
        <v>46339</v>
      </c>
    </row>
    <row r="260" spans="1:6" hidden="1" x14ac:dyDescent="0.25">
      <c r="A260" s="62" t="s">
        <v>651</v>
      </c>
      <c r="B260" s="123">
        <v>9164</v>
      </c>
      <c r="C260" s="49" t="s">
        <v>123</v>
      </c>
      <c r="D260" s="49" t="s">
        <v>124</v>
      </c>
      <c r="E260" s="50">
        <v>200</v>
      </c>
      <c r="F260" s="117">
        <v>46339</v>
      </c>
    </row>
    <row r="261" spans="1:6" hidden="1" x14ac:dyDescent="0.25">
      <c r="A261" s="62" t="s">
        <v>651</v>
      </c>
      <c r="B261" s="123">
        <v>9164</v>
      </c>
      <c r="C261" s="49" t="s">
        <v>201</v>
      </c>
      <c r="D261" s="49" t="s">
        <v>202</v>
      </c>
      <c r="E261" s="50">
        <v>500</v>
      </c>
      <c r="F261" s="117">
        <v>46339</v>
      </c>
    </row>
    <row r="262" spans="1:6" hidden="1" x14ac:dyDescent="0.25">
      <c r="A262" s="62" t="s">
        <v>651</v>
      </c>
      <c r="B262" s="123">
        <v>9164</v>
      </c>
      <c r="C262" s="49" t="s">
        <v>199</v>
      </c>
      <c r="D262" s="49" t="s">
        <v>200</v>
      </c>
      <c r="E262" s="50">
        <v>500</v>
      </c>
      <c r="F262" s="117">
        <v>46339</v>
      </c>
    </row>
    <row r="263" spans="1:6" hidden="1" x14ac:dyDescent="0.25">
      <c r="A263" s="62" t="s">
        <v>651</v>
      </c>
      <c r="B263" s="123">
        <v>9164</v>
      </c>
      <c r="C263" s="49" t="s">
        <v>197</v>
      </c>
      <c r="D263" s="129" t="s">
        <v>198</v>
      </c>
      <c r="E263" s="64">
        <v>500</v>
      </c>
      <c r="F263" s="117">
        <v>46339</v>
      </c>
    </row>
    <row r="264" spans="1:6" hidden="1" x14ac:dyDescent="0.25">
      <c r="A264" s="62" t="s">
        <v>651</v>
      </c>
      <c r="B264" s="123">
        <v>9164</v>
      </c>
      <c r="C264" s="49" t="s">
        <v>205</v>
      </c>
      <c r="D264" s="49" t="s">
        <v>467</v>
      </c>
      <c r="E264" s="50">
        <v>500</v>
      </c>
      <c r="F264" s="117">
        <v>46339</v>
      </c>
    </row>
    <row r="265" spans="1:6" hidden="1" x14ac:dyDescent="0.25">
      <c r="A265" s="62" t="s">
        <v>651</v>
      </c>
      <c r="B265" s="123">
        <v>9164</v>
      </c>
      <c r="C265" s="49" t="s">
        <v>203</v>
      </c>
      <c r="D265" s="49" t="s">
        <v>468</v>
      </c>
      <c r="E265" s="50">
        <v>500</v>
      </c>
      <c r="F265" s="117">
        <v>46339</v>
      </c>
    </row>
    <row r="266" spans="1:6" hidden="1" x14ac:dyDescent="0.25">
      <c r="A266" s="62" t="s">
        <v>651</v>
      </c>
      <c r="B266" s="123">
        <v>9164</v>
      </c>
      <c r="C266" s="49" t="s">
        <v>17</v>
      </c>
      <c r="D266" s="49" t="s">
        <v>647</v>
      </c>
      <c r="E266" s="64">
        <v>500</v>
      </c>
      <c r="F266" s="117">
        <v>46339</v>
      </c>
    </row>
    <row r="267" spans="1:6" hidden="1" x14ac:dyDescent="0.25">
      <c r="A267" s="62" t="s">
        <v>651</v>
      </c>
      <c r="B267" s="123">
        <v>9164</v>
      </c>
      <c r="C267" s="49" t="s">
        <v>469</v>
      </c>
      <c r="D267" s="129" t="s">
        <v>470</v>
      </c>
      <c r="E267" s="64">
        <v>500</v>
      </c>
      <c r="F267" s="117">
        <v>46339</v>
      </c>
    </row>
    <row r="268" spans="1:6" hidden="1" x14ac:dyDescent="0.25">
      <c r="A268" s="62" t="s">
        <v>651</v>
      </c>
      <c r="B268" s="123">
        <v>9164</v>
      </c>
      <c r="C268" s="49" t="s">
        <v>471</v>
      </c>
      <c r="D268" s="49" t="s">
        <v>472</v>
      </c>
      <c r="E268" s="64">
        <v>500</v>
      </c>
      <c r="F268" s="117">
        <v>46339</v>
      </c>
    </row>
    <row r="269" spans="1:6" hidden="1" x14ac:dyDescent="0.25">
      <c r="A269" s="62" t="s">
        <v>651</v>
      </c>
      <c r="B269" s="123">
        <v>9164</v>
      </c>
      <c r="C269" s="49" t="s">
        <v>23</v>
      </c>
      <c r="D269" s="49" t="s">
        <v>24</v>
      </c>
      <c r="E269" s="64">
        <v>500</v>
      </c>
      <c r="F269" s="117">
        <v>46339</v>
      </c>
    </row>
    <row r="270" spans="1:6" hidden="1" x14ac:dyDescent="0.25">
      <c r="A270" s="62" t="s">
        <v>651</v>
      </c>
      <c r="B270" s="123">
        <v>9164</v>
      </c>
      <c r="C270" s="49" t="s">
        <v>473</v>
      </c>
      <c r="D270" s="129" t="s">
        <v>474</v>
      </c>
      <c r="E270" s="50">
        <v>500</v>
      </c>
      <c r="F270" s="117">
        <v>46339</v>
      </c>
    </row>
    <row r="271" spans="1:6" hidden="1" x14ac:dyDescent="0.25">
      <c r="A271" s="62" t="s">
        <v>651</v>
      </c>
      <c r="B271" s="123">
        <v>9164</v>
      </c>
      <c r="C271" s="49" t="s">
        <v>475</v>
      </c>
      <c r="D271" s="129" t="s">
        <v>476</v>
      </c>
      <c r="E271" s="50">
        <v>500</v>
      </c>
      <c r="F271" s="117">
        <v>46339</v>
      </c>
    </row>
    <row r="272" spans="1:6" hidden="1" x14ac:dyDescent="0.25">
      <c r="A272" s="62" t="s">
        <v>651</v>
      </c>
      <c r="B272" s="123">
        <v>9164</v>
      </c>
      <c r="C272" s="49" t="s">
        <v>458</v>
      </c>
      <c r="D272" s="49" t="s">
        <v>459</v>
      </c>
      <c r="E272" s="64">
        <v>500</v>
      </c>
      <c r="F272" s="117">
        <v>46339</v>
      </c>
    </row>
    <row r="273" spans="1:6" hidden="1" x14ac:dyDescent="0.25">
      <c r="A273" s="62" t="s">
        <v>651</v>
      </c>
      <c r="B273" s="123">
        <v>9164</v>
      </c>
      <c r="C273" s="49" t="s">
        <v>191</v>
      </c>
      <c r="D273" s="49" t="s">
        <v>589</v>
      </c>
      <c r="E273" s="50">
        <v>100</v>
      </c>
      <c r="F273" s="117">
        <v>46339</v>
      </c>
    </row>
    <row r="274" spans="1:6" hidden="1" x14ac:dyDescent="0.25">
      <c r="A274" s="62" t="s">
        <v>651</v>
      </c>
      <c r="B274" s="123">
        <v>9164</v>
      </c>
      <c r="C274" s="49" t="s">
        <v>189</v>
      </c>
      <c r="D274" s="49" t="s">
        <v>589</v>
      </c>
      <c r="E274" s="50">
        <v>200</v>
      </c>
      <c r="F274" s="117">
        <v>46339</v>
      </c>
    </row>
    <row r="275" spans="1:6" hidden="1" x14ac:dyDescent="0.25">
      <c r="A275" s="62" t="s">
        <v>651</v>
      </c>
      <c r="B275" s="123">
        <v>9164</v>
      </c>
      <c r="C275" s="49" t="s">
        <v>329</v>
      </c>
      <c r="D275" s="49" t="s">
        <v>589</v>
      </c>
      <c r="E275" s="50">
        <v>100</v>
      </c>
      <c r="F275" s="117">
        <v>46339</v>
      </c>
    </row>
    <row r="276" spans="1:6" hidden="1" x14ac:dyDescent="0.25">
      <c r="A276" s="62" t="s">
        <v>651</v>
      </c>
      <c r="B276" s="123">
        <v>9164</v>
      </c>
      <c r="C276" s="49" t="s">
        <v>101</v>
      </c>
      <c r="D276" s="129" t="s">
        <v>560</v>
      </c>
      <c r="E276" s="50">
        <v>100</v>
      </c>
      <c r="F276" s="117">
        <v>46339</v>
      </c>
    </row>
    <row r="277" spans="1:6" hidden="1" x14ac:dyDescent="0.25">
      <c r="A277" s="62" t="s">
        <v>651</v>
      </c>
      <c r="B277" s="123">
        <v>9164</v>
      </c>
      <c r="C277" s="49" t="s">
        <v>315</v>
      </c>
      <c r="D277" s="49" t="s">
        <v>581</v>
      </c>
      <c r="E277" s="50">
        <v>100</v>
      </c>
      <c r="F277" s="117">
        <v>46339</v>
      </c>
    </row>
    <row r="278" spans="1:6" hidden="1" x14ac:dyDescent="0.25">
      <c r="A278" s="62" t="s">
        <v>651</v>
      </c>
      <c r="B278" s="123">
        <v>9164</v>
      </c>
      <c r="C278" s="49" t="s">
        <v>51</v>
      </c>
      <c r="D278" s="49" t="s">
        <v>582</v>
      </c>
      <c r="E278" s="50">
        <v>100</v>
      </c>
      <c r="F278" s="117">
        <v>46339</v>
      </c>
    </row>
    <row r="279" spans="1:6" hidden="1" x14ac:dyDescent="0.25">
      <c r="A279" s="62" t="s">
        <v>651</v>
      </c>
      <c r="B279" s="123">
        <v>9164</v>
      </c>
      <c r="C279" s="49" t="s">
        <v>310</v>
      </c>
      <c r="D279" s="49" t="s">
        <v>596</v>
      </c>
      <c r="E279" s="50">
        <v>100</v>
      </c>
      <c r="F279" s="117">
        <v>46339</v>
      </c>
    </row>
    <row r="280" spans="1:6" hidden="1" x14ac:dyDescent="0.25">
      <c r="A280" s="62" t="s">
        <v>651</v>
      </c>
      <c r="B280" s="123">
        <v>9164</v>
      </c>
      <c r="C280" s="49" t="s">
        <v>125</v>
      </c>
      <c r="D280" s="49" t="s">
        <v>673</v>
      </c>
      <c r="E280" s="50">
        <v>100</v>
      </c>
      <c r="F280" s="117">
        <v>46339</v>
      </c>
    </row>
    <row r="281" spans="1:6" hidden="1" x14ac:dyDescent="0.25">
      <c r="A281" s="62" t="s">
        <v>651</v>
      </c>
      <c r="B281" s="123">
        <v>9164</v>
      </c>
      <c r="C281" s="49" t="s">
        <v>107</v>
      </c>
      <c r="D281" s="49" t="s">
        <v>583</v>
      </c>
      <c r="E281" s="50">
        <v>100</v>
      </c>
      <c r="F281" s="117">
        <v>46339</v>
      </c>
    </row>
    <row r="282" spans="1:6" hidden="1" x14ac:dyDescent="0.25">
      <c r="A282" s="62" t="s">
        <v>651</v>
      </c>
      <c r="B282" s="123">
        <v>9164</v>
      </c>
      <c r="C282" s="49" t="s">
        <v>340</v>
      </c>
      <c r="D282" s="49" t="s">
        <v>668</v>
      </c>
      <c r="E282" s="50">
        <v>100</v>
      </c>
      <c r="F282" s="117">
        <v>46339</v>
      </c>
    </row>
    <row r="283" spans="1:6" hidden="1" x14ac:dyDescent="0.25">
      <c r="A283" s="62" t="s">
        <v>651</v>
      </c>
      <c r="B283" s="123">
        <v>9164</v>
      </c>
      <c r="C283" s="49" t="s">
        <v>312</v>
      </c>
      <c r="D283" s="49" t="s">
        <v>584</v>
      </c>
      <c r="E283" s="50">
        <v>100</v>
      </c>
      <c r="F283" s="117">
        <v>46339</v>
      </c>
    </row>
    <row r="284" spans="1:6" hidden="1" x14ac:dyDescent="0.25">
      <c r="A284" s="62" t="s">
        <v>651</v>
      </c>
      <c r="B284" s="123">
        <v>9164</v>
      </c>
      <c r="C284" s="49" t="s">
        <v>313</v>
      </c>
      <c r="D284" s="49" t="s">
        <v>644</v>
      </c>
      <c r="E284" s="50">
        <v>100</v>
      </c>
      <c r="F284" s="117">
        <v>46339</v>
      </c>
    </row>
    <row r="285" spans="1:6" hidden="1" x14ac:dyDescent="0.25">
      <c r="A285" s="62" t="s">
        <v>651</v>
      </c>
      <c r="B285" s="123">
        <v>9164</v>
      </c>
      <c r="C285" s="49" t="s">
        <v>303</v>
      </c>
      <c r="D285" s="49" t="s">
        <v>304</v>
      </c>
      <c r="E285" s="50">
        <v>200</v>
      </c>
      <c r="F285" s="117">
        <v>46339</v>
      </c>
    </row>
    <row r="286" spans="1:6" hidden="1" x14ac:dyDescent="0.25">
      <c r="A286" s="62" t="s">
        <v>651</v>
      </c>
      <c r="B286" s="123">
        <v>9164</v>
      </c>
      <c r="C286" s="49" t="s">
        <v>513</v>
      </c>
      <c r="D286" s="129" t="s">
        <v>676</v>
      </c>
      <c r="E286" s="50">
        <v>200</v>
      </c>
      <c r="F286" s="117">
        <v>46339</v>
      </c>
    </row>
    <row r="287" spans="1:6" hidden="1" x14ac:dyDescent="0.25">
      <c r="A287" s="62" t="s">
        <v>651</v>
      </c>
      <c r="B287" s="123">
        <v>9164</v>
      </c>
      <c r="C287" s="49" t="s">
        <v>514</v>
      </c>
      <c r="D287" s="49" t="s">
        <v>677</v>
      </c>
      <c r="E287" s="50">
        <v>200</v>
      </c>
      <c r="F287" s="117">
        <v>46339</v>
      </c>
    </row>
    <row r="288" spans="1:6" hidden="1" x14ac:dyDescent="0.25">
      <c r="A288" s="62" t="s">
        <v>651</v>
      </c>
      <c r="B288" s="123">
        <v>9164</v>
      </c>
      <c r="C288" s="49" t="s">
        <v>340</v>
      </c>
      <c r="D288" s="49" t="s">
        <v>668</v>
      </c>
      <c r="E288" s="50">
        <v>200</v>
      </c>
      <c r="F288" s="117">
        <v>46339</v>
      </c>
    </row>
    <row r="289" spans="1:6" hidden="1" x14ac:dyDescent="0.25">
      <c r="A289" s="62" t="s">
        <v>651</v>
      </c>
      <c r="B289" s="123">
        <v>9164</v>
      </c>
      <c r="C289" s="49" t="s">
        <v>309</v>
      </c>
      <c r="D289" s="49" t="s">
        <v>585</v>
      </c>
      <c r="E289" s="50">
        <v>200</v>
      </c>
      <c r="F289" s="117">
        <v>46339</v>
      </c>
    </row>
    <row r="290" spans="1:6" hidden="1" x14ac:dyDescent="0.25">
      <c r="A290" s="62" t="s">
        <v>651</v>
      </c>
      <c r="B290" s="123">
        <v>9164</v>
      </c>
      <c r="C290" s="49" t="s">
        <v>310</v>
      </c>
      <c r="D290" s="49" t="s">
        <v>596</v>
      </c>
      <c r="E290" s="50">
        <v>200</v>
      </c>
      <c r="F290" s="117">
        <v>46339</v>
      </c>
    </row>
    <row r="291" spans="1:6" hidden="1" x14ac:dyDescent="0.25">
      <c r="A291" s="62" t="s">
        <v>651</v>
      </c>
      <c r="B291" s="123">
        <v>9164</v>
      </c>
      <c r="C291" s="49" t="s">
        <v>312</v>
      </c>
      <c r="D291" s="49" t="s">
        <v>584</v>
      </c>
      <c r="E291" s="50">
        <v>200</v>
      </c>
      <c r="F291" s="117">
        <v>46339</v>
      </c>
    </row>
    <row r="292" spans="1:6" hidden="1" x14ac:dyDescent="0.25">
      <c r="A292" s="62" t="s">
        <v>651</v>
      </c>
      <c r="B292" s="123">
        <v>9164</v>
      </c>
      <c r="C292" s="49" t="s">
        <v>313</v>
      </c>
      <c r="D292" s="49" t="s">
        <v>644</v>
      </c>
      <c r="E292" s="50">
        <v>200</v>
      </c>
      <c r="F292" s="117">
        <v>46339</v>
      </c>
    </row>
    <row r="293" spans="1:6" hidden="1" x14ac:dyDescent="0.25">
      <c r="A293" s="62" t="s">
        <v>651</v>
      </c>
      <c r="B293" s="123">
        <v>9164</v>
      </c>
      <c r="C293" s="49" t="s">
        <v>332</v>
      </c>
      <c r="D293" s="129" t="s">
        <v>333</v>
      </c>
      <c r="E293" s="50">
        <v>50</v>
      </c>
      <c r="F293" s="117">
        <v>46339</v>
      </c>
    </row>
    <row r="294" spans="1:6" hidden="1" x14ac:dyDescent="0.25">
      <c r="A294" s="62" t="s">
        <v>651</v>
      </c>
      <c r="B294" s="123">
        <v>9164</v>
      </c>
      <c r="C294" s="49" t="s">
        <v>315</v>
      </c>
      <c r="D294" s="49" t="s">
        <v>581</v>
      </c>
      <c r="E294" s="50">
        <v>50</v>
      </c>
      <c r="F294" s="117">
        <v>46339</v>
      </c>
    </row>
    <row r="295" spans="1:6" hidden="1" x14ac:dyDescent="0.25">
      <c r="A295" s="62" t="s">
        <v>651</v>
      </c>
      <c r="B295" s="123">
        <v>9164</v>
      </c>
      <c r="C295" s="49" t="s">
        <v>515</v>
      </c>
      <c r="D295" s="49" t="s">
        <v>586</v>
      </c>
      <c r="E295" s="50">
        <v>50</v>
      </c>
      <c r="F295" s="117">
        <v>46339</v>
      </c>
    </row>
    <row r="296" spans="1:6" hidden="1" x14ac:dyDescent="0.25">
      <c r="A296" s="62" t="s">
        <v>651</v>
      </c>
      <c r="B296" s="123">
        <v>9164</v>
      </c>
      <c r="C296" s="49" t="s">
        <v>336</v>
      </c>
      <c r="D296" s="129" t="s">
        <v>587</v>
      </c>
      <c r="E296" s="50">
        <v>50</v>
      </c>
      <c r="F296" s="117">
        <v>46339</v>
      </c>
    </row>
    <row r="297" spans="1:6" hidden="1" x14ac:dyDescent="0.25">
      <c r="A297" s="62" t="s">
        <v>651</v>
      </c>
      <c r="B297" s="123">
        <v>9164</v>
      </c>
      <c r="C297" s="49" t="s">
        <v>338</v>
      </c>
      <c r="D297" s="49" t="s">
        <v>588</v>
      </c>
      <c r="E297" s="50">
        <v>50</v>
      </c>
      <c r="F297" s="117">
        <v>46339</v>
      </c>
    </row>
    <row r="298" spans="1:6" hidden="1" x14ac:dyDescent="0.25">
      <c r="A298" s="62" t="s">
        <v>651</v>
      </c>
      <c r="B298" s="123">
        <v>9164</v>
      </c>
      <c r="C298" s="49" t="s">
        <v>189</v>
      </c>
      <c r="D298" s="49" t="s">
        <v>589</v>
      </c>
      <c r="E298" s="50">
        <v>50</v>
      </c>
      <c r="F298" s="117">
        <v>46339</v>
      </c>
    </row>
    <row r="299" spans="1:6" hidden="1" x14ac:dyDescent="0.25">
      <c r="A299" s="62" t="s">
        <v>651</v>
      </c>
      <c r="B299" s="123">
        <v>9164</v>
      </c>
      <c r="C299" s="49" t="s">
        <v>125</v>
      </c>
      <c r="D299" s="49" t="s">
        <v>673</v>
      </c>
      <c r="E299" s="50">
        <v>50</v>
      </c>
      <c r="F299" s="117">
        <v>46339</v>
      </c>
    </row>
    <row r="300" spans="1:6" hidden="1" x14ac:dyDescent="0.25">
      <c r="A300" s="62" t="s">
        <v>651</v>
      </c>
      <c r="B300" s="123">
        <v>9164</v>
      </c>
      <c r="C300" s="49" t="s">
        <v>340</v>
      </c>
      <c r="D300" s="49" t="s">
        <v>668</v>
      </c>
      <c r="E300" s="50">
        <v>50</v>
      </c>
      <c r="F300" s="117">
        <v>46339</v>
      </c>
    </row>
    <row r="301" spans="1:6" hidden="1" x14ac:dyDescent="0.25">
      <c r="A301" s="62" t="s">
        <v>651</v>
      </c>
      <c r="B301" s="123">
        <v>9164</v>
      </c>
      <c r="C301" s="49" t="s">
        <v>312</v>
      </c>
      <c r="D301" s="49" t="s">
        <v>584</v>
      </c>
      <c r="E301" s="50">
        <v>50</v>
      </c>
      <c r="F301" s="117">
        <v>46339</v>
      </c>
    </row>
    <row r="302" spans="1:6" hidden="1" x14ac:dyDescent="0.25">
      <c r="A302" s="62" t="s">
        <v>651</v>
      </c>
      <c r="B302" s="123">
        <v>9164</v>
      </c>
      <c r="C302" s="49" t="s">
        <v>313</v>
      </c>
      <c r="D302" s="49" t="s">
        <v>644</v>
      </c>
      <c r="E302" s="50">
        <v>50</v>
      </c>
      <c r="F302" s="117">
        <v>46339</v>
      </c>
    </row>
    <row r="303" spans="1:6" hidden="1" x14ac:dyDescent="0.25">
      <c r="A303" s="62" t="s">
        <v>651</v>
      </c>
      <c r="B303" s="123">
        <v>9164</v>
      </c>
      <c r="C303" s="49" t="s">
        <v>61</v>
      </c>
      <c r="D303" s="129" t="s">
        <v>684</v>
      </c>
      <c r="E303" s="50">
        <v>50</v>
      </c>
      <c r="F303" s="117">
        <v>46339</v>
      </c>
    </row>
    <row r="304" spans="1:6" hidden="1" x14ac:dyDescent="0.25">
      <c r="A304" s="62" t="s">
        <v>651</v>
      </c>
      <c r="B304" s="123">
        <v>9164</v>
      </c>
      <c r="C304" s="49" t="s">
        <v>315</v>
      </c>
      <c r="D304" s="49" t="s">
        <v>581</v>
      </c>
      <c r="E304" s="50">
        <v>50</v>
      </c>
      <c r="F304" s="117">
        <v>46339</v>
      </c>
    </row>
    <row r="305" spans="1:6" hidden="1" x14ac:dyDescent="0.25">
      <c r="A305" s="62" t="s">
        <v>651</v>
      </c>
      <c r="B305" s="123">
        <v>9164</v>
      </c>
      <c r="C305" s="49" t="s">
        <v>515</v>
      </c>
      <c r="D305" s="49" t="s">
        <v>586</v>
      </c>
      <c r="E305" s="50">
        <v>50</v>
      </c>
      <c r="F305" s="117">
        <v>46339</v>
      </c>
    </row>
    <row r="306" spans="1:6" hidden="1" x14ac:dyDescent="0.25">
      <c r="A306" s="62" t="s">
        <v>651</v>
      </c>
      <c r="B306" s="123">
        <v>9164</v>
      </c>
      <c r="C306" s="49" t="s">
        <v>153</v>
      </c>
      <c r="D306" s="49" t="s">
        <v>590</v>
      </c>
      <c r="E306" s="50">
        <v>50</v>
      </c>
      <c r="F306" s="117">
        <v>46339</v>
      </c>
    </row>
    <row r="307" spans="1:6" hidden="1" x14ac:dyDescent="0.25">
      <c r="A307" s="62" t="s">
        <v>651</v>
      </c>
      <c r="B307" s="123">
        <v>9164</v>
      </c>
      <c r="C307" s="49" t="s">
        <v>189</v>
      </c>
      <c r="D307" s="49" t="s">
        <v>589</v>
      </c>
      <c r="E307" s="50">
        <v>50</v>
      </c>
      <c r="F307" s="117">
        <v>46339</v>
      </c>
    </row>
    <row r="308" spans="1:6" hidden="1" x14ac:dyDescent="0.25">
      <c r="A308" s="62" t="s">
        <v>651</v>
      </c>
      <c r="B308" s="123">
        <v>9164</v>
      </c>
      <c r="C308" s="49" t="s">
        <v>119</v>
      </c>
      <c r="D308" s="49" t="s">
        <v>670</v>
      </c>
      <c r="E308" s="50">
        <v>50</v>
      </c>
      <c r="F308" s="117">
        <v>46339</v>
      </c>
    </row>
    <row r="309" spans="1:6" hidden="1" x14ac:dyDescent="0.25">
      <c r="A309" s="62" t="s">
        <v>651</v>
      </c>
      <c r="B309" s="123">
        <v>9164</v>
      </c>
      <c r="C309" s="129" t="s">
        <v>313</v>
      </c>
      <c r="D309" s="49" t="s">
        <v>644</v>
      </c>
      <c r="E309" s="50">
        <v>50</v>
      </c>
      <c r="F309" s="117">
        <v>46339</v>
      </c>
    </row>
    <row r="310" spans="1:6" hidden="1" x14ac:dyDescent="0.25">
      <c r="A310" s="62" t="s">
        <v>651</v>
      </c>
      <c r="B310" s="123">
        <v>9164</v>
      </c>
      <c r="C310" s="129" t="s">
        <v>312</v>
      </c>
      <c r="D310" s="49" t="s">
        <v>584</v>
      </c>
      <c r="E310" s="50">
        <v>50</v>
      </c>
      <c r="F310" s="117">
        <v>46339</v>
      </c>
    </row>
    <row r="311" spans="1:6" hidden="1" x14ac:dyDescent="0.25">
      <c r="A311" s="62" t="s">
        <v>651</v>
      </c>
      <c r="B311" s="123">
        <v>9164</v>
      </c>
      <c r="C311" s="49" t="s">
        <v>340</v>
      </c>
      <c r="D311" s="49" t="s">
        <v>668</v>
      </c>
      <c r="E311" s="50">
        <v>50</v>
      </c>
      <c r="F311" s="117">
        <v>46339</v>
      </c>
    </row>
    <row r="312" spans="1:6" hidden="1" x14ac:dyDescent="0.25">
      <c r="A312" s="62" t="s">
        <v>651</v>
      </c>
      <c r="B312" s="123">
        <v>9164</v>
      </c>
      <c r="C312" s="129" t="s">
        <v>131</v>
      </c>
      <c r="D312" s="49" t="s">
        <v>671</v>
      </c>
      <c r="E312" s="50">
        <v>50</v>
      </c>
      <c r="F312" s="117">
        <v>46339</v>
      </c>
    </row>
    <row r="313" spans="1:6" hidden="1" x14ac:dyDescent="0.25">
      <c r="A313" s="62" t="s">
        <v>651</v>
      </c>
      <c r="B313" s="123">
        <v>9164</v>
      </c>
      <c r="C313" s="129" t="s">
        <v>477</v>
      </c>
      <c r="D313" s="129" t="s">
        <v>494</v>
      </c>
      <c r="E313" s="129">
        <v>300</v>
      </c>
      <c r="F313" s="117">
        <v>46339</v>
      </c>
    </row>
    <row r="314" spans="1:6" hidden="1" x14ac:dyDescent="0.25">
      <c r="A314" s="62" t="s">
        <v>651</v>
      </c>
      <c r="B314" s="123">
        <v>9164</v>
      </c>
      <c r="C314" s="129" t="s">
        <v>516</v>
      </c>
      <c r="D314" s="49" t="s">
        <v>674</v>
      </c>
      <c r="E314" s="129">
        <v>300</v>
      </c>
      <c r="F314" s="117">
        <v>46339</v>
      </c>
    </row>
    <row r="315" spans="1:6" hidden="1" x14ac:dyDescent="0.25">
      <c r="A315" s="62" t="s">
        <v>651</v>
      </c>
      <c r="B315" s="123">
        <v>9164</v>
      </c>
      <c r="C315" s="129" t="s">
        <v>139</v>
      </c>
      <c r="D315" s="49" t="s">
        <v>675</v>
      </c>
      <c r="E315" s="129">
        <v>300</v>
      </c>
      <c r="F315" s="117">
        <v>46339</v>
      </c>
    </row>
    <row r="316" spans="1:6" hidden="1" x14ac:dyDescent="0.25">
      <c r="A316" s="62" t="s">
        <v>651</v>
      </c>
      <c r="B316" s="123">
        <v>9164</v>
      </c>
      <c r="C316" s="129" t="s">
        <v>517</v>
      </c>
      <c r="D316" s="49" t="s">
        <v>591</v>
      </c>
      <c r="E316" s="129">
        <v>300</v>
      </c>
      <c r="F316" s="117">
        <v>46339</v>
      </c>
    </row>
    <row r="317" spans="1:6" hidden="1" x14ac:dyDescent="0.25">
      <c r="A317" s="62" t="s">
        <v>651</v>
      </c>
      <c r="B317" s="123">
        <v>9164</v>
      </c>
      <c r="C317" s="49" t="s">
        <v>340</v>
      </c>
      <c r="D317" s="49" t="s">
        <v>668</v>
      </c>
      <c r="E317" s="129">
        <v>300</v>
      </c>
      <c r="F317" s="117">
        <v>46339</v>
      </c>
    </row>
    <row r="318" spans="1:6" hidden="1" x14ac:dyDescent="0.25">
      <c r="A318" s="62" t="s">
        <v>651</v>
      </c>
      <c r="B318" s="123">
        <v>9164</v>
      </c>
      <c r="C318" s="129" t="s">
        <v>478</v>
      </c>
      <c r="D318" s="129" t="s">
        <v>479</v>
      </c>
      <c r="E318" s="129">
        <v>50</v>
      </c>
      <c r="F318" s="117">
        <v>46339</v>
      </c>
    </row>
    <row r="319" spans="1:6" hidden="1" x14ac:dyDescent="0.25">
      <c r="A319" s="62" t="s">
        <v>651</v>
      </c>
      <c r="B319" s="123">
        <v>9164</v>
      </c>
      <c r="C319" s="129" t="s">
        <v>480</v>
      </c>
      <c r="D319" s="129" t="s">
        <v>481</v>
      </c>
      <c r="E319" s="129">
        <v>40</v>
      </c>
      <c r="F319" s="117">
        <v>46339</v>
      </c>
    </row>
    <row r="320" spans="1:6" hidden="1" x14ac:dyDescent="0.25">
      <c r="A320" s="62" t="s">
        <v>651</v>
      </c>
      <c r="B320" s="123">
        <v>9164</v>
      </c>
      <c r="C320" s="129" t="s">
        <v>482</v>
      </c>
      <c r="D320" s="49" t="s">
        <v>483</v>
      </c>
      <c r="E320" s="129">
        <v>50</v>
      </c>
      <c r="F320" s="117">
        <v>46339</v>
      </c>
    </row>
    <row r="321" spans="1:6" hidden="1" x14ac:dyDescent="0.25">
      <c r="A321" s="62" t="s">
        <v>651</v>
      </c>
      <c r="B321" s="123">
        <v>9164</v>
      </c>
      <c r="C321" s="129" t="s">
        <v>484</v>
      </c>
      <c r="D321" s="49" t="s">
        <v>485</v>
      </c>
      <c r="E321" s="129">
        <v>40</v>
      </c>
      <c r="F321" s="117">
        <v>46339</v>
      </c>
    </row>
    <row r="322" spans="1:6" hidden="1" x14ac:dyDescent="0.25">
      <c r="A322" s="62" t="s">
        <v>651</v>
      </c>
      <c r="B322" s="123">
        <v>9164</v>
      </c>
      <c r="C322" s="129" t="s">
        <v>486</v>
      </c>
      <c r="D322" s="49" t="s">
        <v>487</v>
      </c>
      <c r="E322" s="129">
        <v>20</v>
      </c>
      <c r="F322" s="117">
        <v>46339</v>
      </c>
    </row>
    <row r="323" spans="1:6" hidden="1" x14ac:dyDescent="0.25">
      <c r="A323" s="62" t="s">
        <v>651</v>
      </c>
      <c r="B323" s="123">
        <v>9164</v>
      </c>
      <c r="C323" s="129" t="s">
        <v>488</v>
      </c>
      <c r="D323" s="129" t="s">
        <v>489</v>
      </c>
      <c r="E323" s="129">
        <v>20</v>
      </c>
      <c r="F323" s="117">
        <v>46339</v>
      </c>
    </row>
    <row r="324" spans="1:6" hidden="1" x14ac:dyDescent="0.25">
      <c r="A324" s="62" t="s">
        <v>651</v>
      </c>
      <c r="B324" s="123">
        <v>9164</v>
      </c>
      <c r="C324" s="129" t="s">
        <v>490</v>
      </c>
      <c r="D324" s="129" t="s">
        <v>491</v>
      </c>
      <c r="E324" s="129">
        <v>20</v>
      </c>
      <c r="F324" s="117">
        <v>46339</v>
      </c>
    </row>
    <row r="325" spans="1:6" hidden="1" x14ac:dyDescent="0.25">
      <c r="A325" s="62" t="s">
        <v>651</v>
      </c>
      <c r="B325" s="123">
        <v>9164</v>
      </c>
      <c r="C325" s="129" t="s">
        <v>492</v>
      </c>
      <c r="D325" s="129" t="s">
        <v>493</v>
      </c>
      <c r="E325" s="129">
        <v>20</v>
      </c>
      <c r="F325" s="117">
        <v>46339</v>
      </c>
    </row>
    <row r="326" spans="1:6" hidden="1" x14ac:dyDescent="0.25">
      <c r="A326" s="62" t="s">
        <v>660</v>
      </c>
      <c r="B326" s="120">
        <v>9288</v>
      </c>
      <c r="C326" s="129" t="s">
        <v>652</v>
      </c>
      <c r="D326" s="129" t="s">
        <v>653</v>
      </c>
      <c r="E326" s="129">
        <v>252</v>
      </c>
      <c r="F326" s="116">
        <v>46332</v>
      </c>
    </row>
    <row r="327" spans="1:6" hidden="1" x14ac:dyDescent="0.25">
      <c r="A327" s="62" t="s">
        <v>660</v>
      </c>
      <c r="B327" s="120">
        <v>9288</v>
      </c>
      <c r="C327" s="129" t="s">
        <v>654</v>
      </c>
      <c r="D327" s="129" t="s">
        <v>655</v>
      </c>
      <c r="E327" s="129">
        <v>60</v>
      </c>
      <c r="F327" s="116">
        <v>46332</v>
      </c>
    </row>
    <row r="328" spans="1:6" hidden="1" x14ac:dyDescent="0.25">
      <c r="A328" s="62" t="s">
        <v>660</v>
      </c>
      <c r="B328" s="120">
        <v>9288</v>
      </c>
      <c r="C328" s="129" t="s">
        <v>656</v>
      </c>
      <c r="D328" s="129" t="s">
        <v>657</v>
      </c>
      <c r="E328" s="129">
        <v>20</v>
      </c>
      <c r="F328" s="116">
        <v>46332</v>
      </c>
    </row>
    <row r="329" spans="1:6" hidden="1" x14ac:dyDescent="0.25">
      <c r="A329" s="62" t="s">
        <v>660</v>
      </c>
      <c r="B329" s="120">
        <v>9288</v>
      </c>
      <c r="C329" s="129" t="s">
        <v>658</v>
      </c>
      <c r="D329" s="49" t="s">
        <v>659</v>
      </c>
      <c r="E329" s="129">
        <v>52</v>
      </c>
      <c r="F329" s="116">
        <v>46332</v>
      </c>
    </row>
    <row r="330" spans="1:6" hidden="1" x14ac:dyDescent="0.25">
      <c r="A330" s="62" t="s">
        <v>661</v>
      </c>
      <c r="B330" s="120">
        <v>8938</v>
      </c>
      <c r="C330" s="129">
        <v>571</v>
      </c>
      <c r="D330" s="129" t="s">
        <v>563</v>
      </c>
      <c r="E330" s="129">
        <v>20</v>
      </c>
      <c r="F330" s="116" t="s">
        <v>456</v>
      </c>
    </row>
    <row r="331" spans="1:6" hidden="1" x14ac:dyDescent="0.25">
      <c r="A331" s="62" t="s">
        <v>661</v>
      </c>
      <c r="B331" s="120">
        <v>8938</v>
      </c>
      <c r="C331" s="129" t="s">
        <v>125</v>
      </c>
      <c r="D331" s="49" t="s">
        <v>673</v>
      </c>
      <c r="E331" s="129">
        <v>8</v>
      </c>
      <c r="F331" s="116" t="s">
        <v>456</v>
      </c>
    </row>
    <row r="332" spans="1:6" hidden="1" x14ac:dyDescent="0.25">
      <c r="A332" s="62" t="s">
        <v>661</v>
      </c>
      <c r="B332" s="120">
        <v>8938</v>
      </c>
      <c r="C332" s="129" t="s">
        <v>564</v>
      </c>
      <c r="D332" s="49" t="s">
        <v>565</v>
      </c>
      <c r="E332" s="129">
        <v>2</v>
      </c>
      <c r="F332" s="116" t="s">
        <v>456</v>
      </c>
    </row>
    <row r="333" spans="1:6" hidden="1" x14ac:dyDescent="0.25">
      <c r="A333" s="62" t="s">
        <v>661</v>
      </c>
      <c r="B333" s="120">
        <v>8938</v>
      </c>
      <c r="C333" s="129" t="s">
        <v>548</v>
      </c>
      <c r="D333" s="49" t="s">
        <v>615</v>
      </c>
      <c r="E333" s="129">
        <v>1</v>
      </c>
      <c r="F333" s="116" t="s">
        <v>456</v>
      </c>
    </row>
    <row r="334" spans="1:6" hidden="1" x14ac:dyDescent="0.25">
      <c r="A334" s="62" t="s">
        <v>661</v>
      </c>
      <c r="B334" s="120">
        <v>9153</v>
      </c>
      <c r="C334" s="129" t="s">
        <v>107</v>
      </c>
      <c r="D334" s="49" t="s">
        <v>583</v>
      </c>
      <c r="E334" s="129">
        <v>2</v>
      </c>
      <c r="F334" s="116" t="s">
        <v>456</v>
      </c>
    </row>
    <row r="335" spans="1:6" hidden="1" x14ac:dyDescent="0.25">
      <c r="A335" s="62" t="s">
        <v>661</v>
      </c>
      <c r="B335" s="120">
        <v>9153</v>
      </c>
      <c r="C335" s="129" t="s">
        <v>51</v>
      </c>
      <c r="D335" s="49" t="s">
        <v>582</v>
      </c>
      <c r="E335" s="129">
        <v>2</v>
      </c>
      <c r="F335" s="116" t="s">
        <v>456</v>
      </c>
    </row>
    <row r="336" spans="1:6" hidden="1" x14ac:dyDescent="0.25">
      <c r="A336" s="62" t="s">
        <v>661</v>
      </c>
      <c r="B336" s="120">
        <v>9153</v>
      </c>
      <c r="C336" s="129" t="s">
        <v>163</v>
      </c>
      <c r="D336" s="49" t="s">
        <v>613</v>
      </c>
      <c r="E336" s="129">
        <v>2</v>
      </c>
      <c r="F336" s="116" t="s">
        <v>456</v>
      </c>
    </row>
    <row r="337" spans="1:6" hidden="1" x14ac:dyDescent="0.25">
      <c r="A337" s="62" t="s">
        <v>661</v>
      </c>
      <c r="B337" s="120">
        <v>9153</v>
      </c>
      <c r="C337" s="129" t="s">
        <v>495</v>
      </c>
      <c r="D337" s="129" t="s">
        <v>496</v>
      </c>
      <c r="E337" s="129">
        <v>2</v>
      </c>
      <c r="F337" s="116" t="s">
        <v>456</v>
      </c>
    </row>
    <row r="338" spans="1:6" hidden="1" x14ac:dyDescent="0.25">
      <c r="A338" s="62" t="s">
        <v>661</v>
      </c>
      <c r="B338" s="120">
        <v>9153</v>
      </c>
      <c r="C338" s="129" t="s">
        <v>387</v>
      </c>
      <c r="D338" s="49" t="s">
        <v>680</v>
      </c>
      <c r="E338" s="129">
        <v>2</v>
      </c>
      <c r="F338" s="116" t="s">
        <v>456</v>
      </c>
    </row>
    <row r="339" spans="1:6" hidden="1" x14ac:dyDescent="0.25">
      <c r="A339" s="62" t="s">
        <v>661</v>
      </c>
      <c r="B339" s="120">
        <v>9153</v>
      </c>
      <c r="C339" s="129" t="s">
        <v>561</v>
      </c>
      <c r="D339" s="129" t="s">
        <v>562</v>
      </c>
      <c r="E339" s="129">
        <v>2</v>
      </c>
      <c r="F339" s="116" t="s">
        <v>456</v>
      </c>
    </row>
    <row r="340" spans="1:6" hidden="1" x14ac:dyDescent="0.25">
      <c r="A340" s="62" t="s">
        <v>661</v>
      </c>
      <c r="B340" s="120">
        <v>9153</v>
      </c>
      <c r="C340" s="129" t="s">
        <v>75</v>
      </c>
      <c r="D340" s="49" t="s">
        <v>76</v>
      </c>
      <c r="E340" s="129">
        <v>2</v>
      </c>
      <c r="F340" s="116" t="s">
        <v>456</v>
      </c>
    </row>
    <row r="341" spans="1:6" hidden="1" x14ac:dyDescent="0.25">
      <c r="A341" s="62" t="s">
        <v>580</v>
      </c>
      <c r="B341" s="94">
        <v>9122</v>
      </c>
      <c r="C341" s="129">
        <v>304</v>
      </c>
      <c r="D341" s="49" t="s">
        <v>566</v>
      </c>
      <c r="E341" s="129">
        <v>20</v>
      </c>
      <c r="F341" s="116" t="s">
        <v>456</v>
      </c>
    </row>
    <row r="342" spans="1:6" hidden="1" x14ac:dyDescent="0.25">
      <c r="A342" s="62" t="s">
        <v>580</v>
      </c>
      <c r="B342" s="94">
        <v>9122</v>
      </c>
      <c r="C342" s="129">
        <v>310</v>
      </c>
      <c r="D342" s="49" t="s">
        <v>567</v>
      </c>
      <c r="E342" s="129">
        <v>10</v>
      </c>
      <c r="F342" s="116" t="s">
        <v>456</v>
      </c>
    </row>
    <row r="343" spans="1:6" hidden="1" x14ac:dyDescent="0.25">
      <c r="A343" s="62" t="s">
        <v>580</v>
      </c>
      <c r="B343" s="94">
        <v>9122</v>
      </c>
      <c r="C343" s="129" t="s">
        <v>141</v>
      </c>
      <c r="D343" s="129" t="s">
        <v>142</v>
      </c>
      <c r="E343" s="129">
        <v>8</v>
      </c>
      <c r="F343" s="116" t="s">
        <v>456</v>
      </c>
    </row>
    <row r="344" spans="1:6" hidden="1" x14ac:dyDescent="0.25">
      <c r="A344" s="62" t="s">
        <v>580</v>
      </c>
      <c r="B344" s="94">
        <v>9122</v>
      </c>
      <c r="C344" s="129" t="s">
        <v>568</v>
      </c>
      <c r="D344" s="49" t="s">
        <v>618</v>
      </c>
      <c r="E344" s="129">
        <v>16</v>
      </c>
      <c r="F344" s="116" t="s">
        <v>456</v>
      </c>
    </row>
    <row r="345" spans="1:6" hidden="1" x14ac:dyDescent="0.25">
      <c r="A345" s="62" t="s">
        <v>580</v>
      </c>
      <c r="B345" s="94">
        <v>9122</v>
      </c>
      <c r="C345" s="129" t="s">
        <v>55</v>
      </c>
      <c r="D345" s="129" t="s">
        <v>56</v>
      </c>
      <c r="E345" s="129">
        <v>16</v>
      </c>
      <c r="F345" s="116" t="s">
        <v>456</v>
      </c>
    </row>
    <row r="346" spans="1:6" hidden="1" x14ac:dyDescent="0.25">
      <c r="A346" s="62" t="s">
        <v>580</v>
      </c>
      <c r="B346" s="94">
        <v>9122</v>
      </c>
      <c r="C346" s="129" t="s">
        <v>59</v>
      </c>
      <c r="D346" s="49" t="s">
        <v>60</v>
      </c>
      <c r="E346" s="129">
        <v>8</v>
      </c>
      <c r="F346" s="116" t="s">
        <v>456</v>
      </c>
    </row>
    <row r="347" spans="1:6" hidden="1" x14ac:dyDescent="0.25">
      <c r="A347" s="62" t="s">
        <v>580</v>
      </c>
      <c r="B347" s="94">
        <v>9122</v>
      </c>
      <c r="C347" s="129" t="s">
        <v>9</v>
      </c>
      <c r="D347" s="49" t="s">
        <v>628</v>
      </c>
      <c r="E347" s="129">
        <v>30</v>
      </c>
      <c r="F347" s="116" t="s">
        <v>456</v>
      </c>
    </row>
    <row r="348" spans="1:6" hidden="1" x14ac:dyDescent="0.25">
      <c r="A348" s="62" t="s">
        <v>580</v>
      </c>
      <c r="B348" s="94">
        <v>9122</v>
      </c>
      <c r="C348" s="129" t="s">
        <v>31</v>
      </c>
      <c r="D348" s="49" t="s">
        <v>625</v>
      </c>
      <c r="E348" s="129">
        <v>30</v>
      </c>
      <c r="F348" s="116" t="s">
        <v>456</v>
      </c>
    </row>
    <row r="349" spans="1:6" hidden="1" x14ac:dyDescent="0.25">
      <c r="A349" s="62" t="s">
        <v>580</v>
      </c>
      <c r="B349" s="94">
        <v>9122</v>
      </c>
      <c r="C349" s="129" t="s">
        <v>67</v>
      </c>
      <c r="D349" s="129" t="s">
        <v>68</v>
      </c>
      <c r="E349" s="129">
        <v>96</v>
      </c>
      <c r="F349" s="116" t="s">
        <v>456</v>
      </c>
    </row>
    <row r="350" spans="1:6" hidden="1" x14ac:dyDescent="0.25">
      <c r="A350" s="62" t="s">
        <v>580</v>
      </c>
      <c r="B350" s="94">
        <v>9122</v>
      </c>
      <c r="C350" s="129" t="s">
        <v>191</v>
      </c>
      <c r="D350" s="49" t="s">
        <v>589</v>
      </c>
      <c r="E350" s="129">
        <v>24</v>
      </c>
      <c r="F350" s="116" t="s">
        <v>456</v>
      </c>
    </row>
    <row r="351" spans="1:6" hidden="1" x14ac:dyDescent="0.25">
      <c r="A351" s="62" t="s">
        <v>580</v>
      </c>
      <c r="B351" s="94">
        <v>9122</v>
      </c>
      <c r="C351" s="129" t="s">
        <v>189</v>
      </c>
      <c r="D351" s="49" t="s">
        <v>589</v>
      </c>
      <c r="E351" s="129">
        <v>36</v>
      </c>
      <c r="F351" s="116" t="s">
        <v>456</v>
      </c>
    </row>
    <row r="352" spans="1:6" hidden="1" x14ac:dyDescent="0.25">
      <c r="A352" s="62" t="s">
        <v>580</v>
      </c>
      <c r="B352" s="94">
        <v>9122</v>
      </c>
      <c r="C352" s="129" t="s">
        <v>195</v>
      </c>
      <c r="D352" s="49" t="s">
        <v>196</v>
      </c>
      <c r="E352" s="129">
        <v>24</v>
      </c>
      <c r="F352" s="116" t="s">
        <v>456</v>
      </c>
    </row>
    <row r="353" spans="1:6" hidden="1" x14ac:dyDescent="0.25">
      <c r="A353" s="62" t="s">
        <v>580</v>
      </c>
      <c r="B353" s="94">
        <v>9122</v>
      </c>
      <c r="C353" s="129" t="s">
        <v>193</v>
      </c>
      <c r="D353" s="129" t="s">
        <v>194</v>
      </c>
      <c r="E353" s="129">
        <v>36</v>
      </c>
      <c r="F353" s="116" t="s">
        <v>456</v>
      </c>
    </row>
    <row r="354" spans="1:6" hidden="1" x14ac:dyDescent="0.25">
      <c r="A354" s="62" t="s">
        <v>580</v>
      </c>
      <c r="B354" s="94">
        <v>9122</v>
      </c>
      <c r="C354" s="129" t="s">
        <v>376</v>
      </c>
      <c r="D354" s="129" t="s">
        <v>377</v>
      </c>
      <c r="E354" s="129">
        <v>40</v>
      </c>
      <c r="F354" s="116" t="s">
        <v>456</v>
      </c>
    </row>
    <row r="355" spans="1:6" hidden="1" x14ac:dyDescent="0.25">
      <c r="A355" s="62" t="s">
        <v>580</v>
      </c>
      <c r="B355" s="94">
        <v>9122</v>
      </c>
      <c r="C355" s="129" t="s">
        <v>569</v>
      </c>
      <c r="D355" s="129" t="s">
        <v>570</v>
      </c>
      <c r="E355" s="129">
        <v>450</v>
      </c>
      <c r="F355" s="116" t="s">
        <v>456</v>
      </c>
    </row>
    <row r="356" spans="1:6" hidden="1" x14ac:dyDescent="0.25">
      <c r="A356" s="62" t="s">
        <v>580</v>
      </c>
      <c r="B356" s="94">
        <v>9122</v>
      </c>
      <c r="C356" s="129" t="s">
        <v>93</v>
      </c>
      <c r="D356" s="129" t="s">
        <v>94</v>
      </c>
      <c r="E356" s="129">
        <v>1800</v>
      </c>
      <c r="F356" s="116" t="s">
        <v>456</v>
      </c>
    </row>
    <row r="357" spans="1:6" hidden="1" x14ac:dyDescent="0.25">
      <c r="A357" s="62" t="s">
        <v>580</v>
      </c>
      <c r="B357" s="94">
        <v>9122</v>
      </c>
      <c r="C357" s="129" t="s">
        <v>571</v>
      </c>
      <c r="D357" s="129" t="s">
        <v>572</v>
      </c>
      <c r="E357" s="129">
        <v>400</v>
      </c>
      <c r="F357" s="116" t="s">
        <v>456</v>
      </c>
    </row>
    <row r="358" spans="1:6" hidden="1" x14ac:dyDescent="0.25">
      <c r="A358" s="62" t="s">
        <v>580</v>
      </c>
      <c r="B358" s="94">
        <v>9122</v>
      </c>
      <c r="C358" s="129" t="s">
        <v>17</v>
      </c>
      <c r="D358" s="49" t="s">
        <v>647</v>
      </c>
      <c r="E358" s="129">
        <v>560</v>
      </c>
      <c r="F358" s="116" t="s">
        <v>456</v>
      </c>
    </row>
    <row r="359" spans="1:6" hidden="1" x14ac:dyDescent="0.25">
      <c r="A359" s="62" t="s">
        <v>580</v>
      </c>
      <c r="B359" s="94">
        <v>9122</v>
      </c>
      <c r="C359" s="129" t="s">
        <v>203</v>
      </c>
      <c r="D359" s="129" t="s">
        <v>468</v>
      </c>
      <c r="E359" s="129">
        <v>96</v>
      </c>
      <c r="F359" s="116" t="s">
        <v>456</v>
      </c>
    </row>
    <row r="360" spans="1:6" hidden="1" x14ac:dyDescent="0.25">
      <c r="A360" s="62" t="s">
        <v>580</v>
      </c>
      <c r="B360" s="94">
        <v>9122</v>
      </c>
      <c r="C360" s="129" t="s">
        <v>573</v>
      </c>
      <c r="D360" s="129" t="s">
        <v>574</v>
      </c>
      <c r="E360" s="129">
        <v>200</v>
      </c>
      <c r="F360" s="116" t="s">
        <v>456</v>
      </c>
    </row>
    <row r="361" spans="1:6" hidden="1" x14ac:dyDescent="0.25">
      <c r="A361" s="62" t="s">
        <v>580</v>
      </c>
      <c r="B361" s="94">
        <v>9122</v>
      </c>
      <c r="C361" s="129" t="s">
        <v>199</v>
      </c>
      <c r="D361" s="129" t="s">
        <v>200</v>
      </c>
      <c r="E361" s="129">
        <v>10</v>
      </c>
      <c r="F361" s="116" t="s">
        <v>456</v>
      </c>
    </row>
    <row r="362" spans="1:6" hidden="1" x14ac:dyDescent="0.25">
      <c r="A362" s="62" t="s">
        <v>580</v>
      </c>
      <c r="B362" s="94">
        <v>9122</v>
      </c>
      <c r="C362" s="129" t="s">
        <v>197</v>
      </c>
      <c r="D362" s="129" t="s">
        <v>198</v>
      </c>
      <c r="E362" s="129">
        <v>30</v>
      </c>
      <c r="F362" s="116" t="s">
        <v>456</v>
      </c>
    </row>
    <row r="363" spans="1:6" hidden="1" x14ac:dyDescent="0.25">
      <c r="A363" s="62" t="s">
        <v>580</v>
      </c>
      <c r="B363" s="94">
        <v>9122</v>
      </c>
      <c r="C363" s="129" t="s">
        <v>163</v>
      </c>
      <c r="D363" s="49" t="s">
        <v>613</v>
      </c>
      <c r="E363" s="129">
        <v>30</v>
      </c>
      <c r="F363" s="116" t="s">
        <v>456</v>
      </c>
    </row>
    <row r="364" spans="1:6" hidden="1" x14ac:dyDescent="0.25">
      <c r="A364" s="62" t="s">
        <v>580</v>
      </c>
      <c r="B364" s="94">
        <v>9122</v>
      </c>
      <c r="C364" s="129" t="s">
        <v>336</v>
      </c>
      <c r="D364" s="129" t="s">
        <v>587</v>
      </c>
      <c r="E364" s="129">
        <v>20</v>
      </c>
      <c r="F364" s="116" t="s">
        <v>456</v>
      </c>
    </row>
    <row r="365" spans="1:6" hidden="1" x14ac:dyDescent="0.25">
      <c r="A365" s="62" t="s">
        <v>580</v>
      </c>
      <c r="B365" s="94">
        <v>9122</v>
      </c>
      <c r="C365" s="129" t="s">
        <v>343</v>
      </c>
      <c r="D365" s="129" t="s">
        <v>575</v>
      </c>
      <c r="E365" s="129">
        <v>20</v>
      </c>
      <c r="F365" s="116" t="s">
        <v>456</v>
      </c>
    </row>
    <row r="366" spans="1:6" hidden="1" x14ac:dyDescent="0.25">
      <c r="A366" s="62" t="s">
        <v>580</v>
      </c>
      <c r="B366" s="94">
        <v>9122</v>
      </c>
      <c r="C366" s="129" t="s">
        <v>338</v>
      </c>
      <c r="D366" s="49" t="s">
        <v>588</v>
      </c>
      <c r="E366" s="129">
        <v>20</v>
      </c>
      <c r="F366" s="116" t="s">
        <v>456</v>
      </c>
    </row>
    <row r="367" spans="1:6" hidden="1" x14ac:dyDescent="0.25">
      <c r="A367" s="62" t="s">
        <v>580</v>
      </c>
      <c r="B367" s="94">
        <v>9122</v>
      </c>
      <c r="C367" s="129" t="s">
        <v>345</v>
      </c>
      <c r="D367" s="49" t="s">
        <v>588</v>
      </c>
      <c r="E367" s="129">
        <v>20</v>
      </c>
      <c r="F367" s="116" t="s">
        <v>456</v>
      </c>
    </row>
    <row r="368" spans="1:6" hidden="1" x14ac:dyDescent="0.25">
      <c r="A368" s="62" t="s">
        <v>580</v>
      </c>
      <c r="B368" s="94">
        <v>9122</v>
      </c>
      <c r="C368" s="129" t="s">
        <v>576</v>
      </c>
      <c r="D368" s="129" t="s">
        <v>577</v>
      </c>
      <c r="E368" s="129">
        <v>560</v>
      </c>
      <c r="F368" s="116" t="s">
        <v>456</v>
      </c>
    </row>
    <row r="369" spans="1:6" hidden="1" x14ac:dyDescent="0.25">
      <c r="A369" s="62" t="s">
        <v>580</v>
      </c>
      <c r="B369" s="94">
        <v>9122</v>
      </c>
      <c r="C369" s="129" t="s">
        <v>578</v>
      </c>
      <c r="D369" s="129" t="s">
        <v>579</v>
      </c>
      <c r="E369" s="129">
        <v>90</v>
      </c>
      <c r="F369" s="116" t="s">
        <v>456</v>
      </c>
    </row>
    <row r="370" spans="1:6" hidden="1" x14ac:dyDescent="0.25">
      <c r="A370" s="62" t="s">
        <v>683</v>
      </c>
      <c r="B370" s="120" t="s">
        <v>686</v>
      </c>
      <c r="C370" s="129" t="s">
        <v>61</v>
      </c>
      <c r="D370" s="129" t="s">
        <v>684</v>
      </c>
      <c r="E370" s="129">
        <v>100</v>
      </c>
      <c r="F370" s="116" t="s">
        <v>456</v>
      </c>
    </row>
    <row r="371" spans="1:6" hidden="1" x14ac:dyDescent="0.25">
      <c r="A371" s="62" t="s">
        <v>683</v>
      </c>
      <c r="B371" s="120" t="s">
        <v>686</v>
      </c>
      <c r="C371" s="129" t="s">
        <v>315</v>
      </c>
      <c r="D371" s="49" t="s">
        <v>581</v>
      </c>
      <c r="E371" s="129">
        <v>100</v>
      </c>
      <c r="F371" s="116" t="s">
        <v>456</v>
      </c>
    </row>
    <row r="372" spans="1:6" hidden="1" x14ac:dyDescent="0.25">
      <c r="A372" s="62" t="s">
        <v>683</v>
      </c>
      <c r="B372" s="120" t="s">
        <v>686</v>
      </c>
      <c r="C372" s="129" t="s">
        <v>685</v>
      </c>
      <c r="D372" s="129" t="s">
        <v>586</v>
      </c>
      <c r="E372" s="129">
        <v>100</v>
      </c>
      <c r="F372" s="116" t="s">
        <v>456</v>
      </c>
    </row>
    <row r="373" spans="1:6" hidden="1" x14ac:dyDescent="0.25">
      <c r="A373" s="62" t="s">
        <v>683</v>
      </c>
      <c r="B373" s="120" t="s">
        <v>686</v>
      </c>
      <c r="C373" s="129" t="s">
        <v>153</v>
      </c>
      <c r="D373" s="129" t="s">
        <v>590</v>
      </c>
      <c r="E373" s="129">
        <v>100</v>
      </c>
      <c r="F373" s="116" t="s">
        <v>456</v>
      </c>
    </row>
    <row r="374" spans="1:6" hidden="1" x14ac:dyDescent="0.25">
      <c r="A374" s="62" t="s">
        <v>683</v>
      </c>
      <c r="B374" s="120" t="s">
        <v>686</v>
      </c>
      <c r="C374" s="129" t="s">
        <v>189</v>
      </c>
      <c r="D374" s="129" t="s">
        <v>589</v>
      </c>
      <c r="E374" s="129">
        <v>100</v>
      </c>
      <c r="F374" s="116" t="s">
        <v>456</v>
      </c>
    </row>
    <row r="375" spans="1:6" hidden="1" x14ac:dyDescent="0.25">
      <c r="A375" s="62" t="s">
        <v>683</v>
      </c>
      <c r="B375" s="120" t="s">
        <v>686</v>
      </c>
      <c r="C375" s="129" t="s">
        <v>119</v>
      </c>
      <c r="D375" s="129" t="s">
        <v>670</v>
      </c>
      <c r="E375" s="129">
        <v>100</v>
      </c>
      <c r="F375" s="116" t="s">
        <v>456</v>
      </c>
    </row>
    <row r="376" spans="1:6" hidden="1" x14ac:dyDescent="0.25">
      <c r="A376" s="62" t="s">
        <v>683</v>
      </c>
      <c r="B376" s="120" t="s">
        <v>686</v>
      </c>
      <c r="C376" s="129" t="s">
        <v>313</v>
      </c>
      <c r="D376" s="129" t="s">
        <v>644</v>
      </c>
      <c r="E376" s="129">
        <v>100</v>
      </c>
      <c r="F376" s="116" t="s">
        <v>456</v>
      </c>
    </row>
    <row r="377" spans="1:6" hidden="1" x14ac:dyDescent="0.25">
      <c r="A377" s="62" t="s">
        <v>683</v>
      </c>
      <c r="B377" s="120" t="s">
        <v>686</v>
      </c>
      <c r="C377" s="129" t="s">
        <v>312</v>
      </c>
      <c r="D377" s="129" t="s">
        <v>584</v>
      </c>
      <c r="E377" s="129">
        <v>100</v>
      </c>
      <c r="F377" s="116" t="s">
        <v>456</v>
      </c>
    </row>
    <row r="378" spans="1:6" hidden="1" x14ac:dyDescent="0.25">
      <c r="A378" s="62" t="s">
        <v>683</v>
      </c>
      <c r="B378" s="120" t="s">
        <v>686</v>
      </c>
      <c r="C378" s="129" t="s">
        <v>340</v>
      </c>
      <c r="D378" s="129" t="s">
        <v>668</v>
      </c>
      <c r="E378" s="129">
        <v>100</v>
      </c>
      <c r="F378" s="116" t="s">
        <v>456</v>
      </c>
    </row>
    <row r="379" spans="1:6" hidden="1" x14ac:dyDescent="0.25">
      <c r="A379" s="62" t="s">
        <v>683</v>
      </c>
      <c r="B379" s="120" t="s">
        <v>686</v>
      </c>
      <c r="C379" s="129" t="s">
        <v>131</v>
      </c>
      <c r="D379" s="49" t="s">
        <v>671</v>
      </c>
      <c r="E379" s="129">
        <v>100</v>
      </c>
      <c r="F379" s="116" t="s">
        <v>456</v>
      </c>
    </row>
    <row r="380" spans="1:6" hidden="1" x14ac:dyDescent="0.25">
      <c r="A380" s="62" t="s">
        <v>690</v>
      </c>
      <c r="B380" s="120">
        <v>9389</v>
      </c>
      <c r="C380" s="129" t="s">
        <v>29</v>
      </c>
      <c r="D380" s="49" t="s">
        <v>687</v>
      </c>
      <c r="E380" s="129">
        <v>20</v>
      </c>
      <c r="F380" s="116">
        <v>46319</v>
      </c>
    </row>
    <row r="381" spans="1:6" hidden="1" x14ac:dyDescent="0.25">
      <c r="A381" s="62" t="s">
        <v>690</v>
      </c>
      <c r="B381" s="120">
        <v>9389</v>
      </c>
      <c r="C381" s="129" t="s">
        <v>163</v>
      </c>
      <c r="D381" s="129" t="s">
        <v>613</v>
      </c>
      <c r="E381" s="129">
        <v>20</v>
      </c>
      <c r="F381" s="116">
        <v>46319</v>
      </c>
    </row>
    <row r="382" spans="1:6" hidden="1" x14ac:dyDescent="0.25">
      <c r="A382" s="62" t="s">
        <v>690</v>
      </c>
      <c r="B382" s="120">
        <v>9389</v>
      </c>
      <c r="C382" s="129" t="s">
        <v>688</v>
      </c>
      <c r="D382" s="129" t="s">
        <v>689</v>
      </c>
      <c r="E382" s="129">
        <v>20</v>
      </c>
      <c r="F382" s="116">
        <v>46319</v>
      </c>
    </row>
    <row r="383" spans="1:6" hidden="1" x14ac:dyDescent="0.25">
      <c r="A383" s="62" t="s">
        <v>690</v>
      </c>
      <c r="B383" s="120">
        <v>9389</v>
      </c>
      <c r="C383" s="129" t="s">
        <v>410</v>
      </c>
      <c r="D383" s="129" t="s">
        <v>617</v>
      </c>
      <c r="E383" s="129">
        <v>20</v>
      </c>
      <c r="F383" s="116">
        <v>46319</v>
      </c>
    </row>
    <row r="384" spans="1:6" hidden="1" x14ac:dyDescent="0.25">
      <c r="A384" s="62"/>
      <c r="F384" s="116"/>
    </row>
    <row r="385" spans="1:6" hidden="1" x14ac:dyDescent="0.25">
      <c r="A385" s="62"/>
      <c r="F385" s="116"/>
    </row>
    <row r="386" spans="1:6" hidden="1" x14ac:dyDescent="0.25">
      <c r="A386" s="62"/>
      <c r="F386" s="116"/>
    </row>
    <row r="387" spans="1:6" hidden="1" x14ac:dyDescent="0.25">
      <c r="A387" s="62"/>
      <c r="F387" s="116"/>
    </row>
    <row r="388" spans="1:6" hidden="1" x14ac:dyDescent="0.25">
      <c r="F388" s="133"/>
    </row>
    <row r="389" spans="1:6" hidden="1" x14ac:dyDescent="0.25">
      <c r="F389" s="133"/>
    </row>
  </sheetData>
  <autoFilter ref="A1:F389" xr:uid="{AB230851-5399-48A0-80DA-EA3CA6C89725}">
    <filterColumn colId="2">
      <filters>
        <filter val="514-A"/>
      </filters>
    </filterColumn>
  </autoFilter>
  <conditionalFormatting sqref="C121 C122:D122 C123">
    <cfRule type="expression" dxfId="9" priority="3">
      <formula>#REF!="done"</formula>
    </cfRule>
  </conditionalFormatting>
  <conditionalFormatting sqref="C194">
    <cfRule type="expression" dxfId="8" priority="2">
      <formula>#REF!="done"</formula>
    </cfRule>
  </conditionalFormatting>
  <conditionalFormatting sqref="C266:C267 C268:D268">
    <cfRule type="expression" dxfId="7" priority="1">
      <formula>#REF!="done"</formula>
    </cfRule>
  </conditionalFormatting>
  <conditionalFormatting sqref="C4:D5 D202">
    <cfRule type="expression" dxfId="6" priority="4">
      <formula>#REF!="done"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7344-892A-450C-89BC-E5CAB411D1C9}">
  <sheetPr>
    <tabColor rgb="FF00B050"/>
  </sheetPr>
  <dimension ref="A1:X206"/>
  <sheetViews>
    <sheetView tabSelected="1" workbookViewId="0">
      <selection activeCell="G18" sqref="G18"/>
    </sheetView>
  </sheetViews>
  <sheetFormatPr defaultRowHeight="15" x14ac:dyDescent="0.25"/>
  <cols>
    <col min="1" max="1" width="13.7109375" style="120" customWidth="1"/>
    <col min="2" max="2" width="73.42578125" style="120" bestFit="1" customWidth="1"/>
    <col min="3" max="3" width="13" style="137" hidden="1" customWidth="1"/>
    <col min="4" max="5" width="19.140625" style="137" bestFit="1" customWidth="1"/>
    <col min="6" max="21" width="19.140625" style="135" bestFit="1" customWidth="1"/>
    <col min="22" max="22" width="19.140625" style="121" bestFit="1" customWidth="1"/>
    <col min="23" max="23" width="11.28515625" style="121" bestFit="1" customWidth="1"/>
    <col min="24" max="24" width="24.42578125" style="120" bestFit="1" customWidth="1"/>
    <col min="25" max="35" width="24.42578125" bestFit="1" customWidth="1"/>
    <col min="36" max="36" width="11.28515625" bestFit="1" customWidth="1"/>
  </cols>
  <sheetData>
    <row r="1" spans="1:24" x14ac:dyDescent="0.25">
      <c r="A1" s="119" t="s">
        <v>453</v>
      </c>
      <c r="C1" s="134" t="s">
        <v>449</v>
      </c>
      <c r="D1" s="134" t="s">
        <v>445</v>
      </c>
      <c r="E1" s="134" t="s">
        <v>450</v>
      </c>
      <c r="F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41"/>
      <c r="X1"/>
    </row>
    <row r="2" spans="1:24" x14ac:dyDescent="0.25">
      <c r="C2" s="137" t="s">
        <v>451</v>
      </c>
      <c r="D2" s="137" t="s">
        <v>456</v>
      </c>
      <c r="F2" s="137"/>
      <c r="G2" s="137"/>
      <c r="H2" s="137"/>
      <c r="I2" s="137"/>
      <c r="J2" s="137"/>
      <c r="K2" s="137"/>
      <c r="L2" s="136">
        <v>46316</v>
      </c>
      <c r="M2" s="136">
        <v>46324</v>
      </c>
      <c r="N2" s="136">
        <v>46325</v>
      </c>
      <c r="O2" s="136">
        <v>46332</v>
      </c>
      <c r="P2" s="137"/>
      <c r="Q2" s="137"/>
      <c r="R2" s="137"/>
      <c r="S2" s="137"/>
      <c r="T2" s="136">
        <v>46320</v>
      </c>
      <c r="U2" s="136">
        <v>46339</v>
      </c>
      <c r="V2" s="136">
        <v>46319</v>
      </c>
      <c r="W2" s="143" t="s">
        <v>452</v>
      </c>
      <c r="X2"/>
    </row>
    <row r="3" spans="1:24" x14ac:dyDescent="0.25">
      <c r="C3" s="137" t="s">
        <v>451</v>
      </c>
      <c r="D3" s="137">
        <v>6638</v>
      </c>
      <c r="E3" s="137">
        <v>6773</v>
      </c>
      <c r="F3" s="137">
        <v>6583</v>
      </c>
      <c r="G3" s="137">
        <v>7159</v>
      </c>
      <c r="H3" s="137">
        <v>9153</v>
      </c>
      <c r="I3" s="137">
        <v>8938</v>
      </c>
      <c r="J3" s="137">
        <v>9122</v>
      </c>
      <c r="K3" s="137" t="s">
        <v>686</v>
      </c>
      <c r="L3" s="137">
        <v>8765</v>
      </c>
      <c r="M3" s="137">
        <v>9204</v>
      </c>
      <c r="N3" s="137">
        <v>9005</v>
      </c>
      <c r="O3" s="137">
        <v>8952</v>
      </c>
      <c r="P3" s="137">
        <v>9160</v>
      </c>
      <c r="Q3" s="137">
        <v>9143</v>
      </c>
      <c r="R3" s="137">
        <v>8814</v>
      </c>
      <c r="S3" s="137">
        <v>9288</v>
      </c>
      <c r="T3" s="137" t="s">
        <v>451</v>
      </c>
      <c r="U3" s="137">
        <v>9164</v>
      </c>
      <c r="V3" s="120">
        <v>9389</v>
      </c>
      <c r="W3" s="143"/>
      <c r="X3"/>
    </row>
    <row r="4" spans="1:24" s="139" customFormat="1" x14ac:dyDescent="0.25">
      <c r="A4" s="142" t="s">
        <v>446</v>
      </c>
      <c r="B4" s="142" t="s">
        <v>447</v>
      </c>
      <c r="C4" s="144" t="s">
        <v>451</v>
      </c>
      <c r="D4" s="144" t="s">
        <v>457</v>
      </c>
      <c r="E4" s="144" t="s">
        <v>460</v>
      </c>
      <c r="F4" s="144" t="s">
        <v>464</v>
      </c>
      <c r="G4" s="144" t="s">
        <v>464</v>
      </c>
      <c r="H4" s="144" t="s">
        <v>661</v>
      </c>
      <c r="I4" s="144" t="s">
        <v>661</v>
      </c>
      <c r="J4" s="144" t="s">
        <v>580</v>
      </c>
      <c r="K4" s="144" t="s">
        <v>683</v>
      </c>
      <c r="L4" s="144" t="s">
        <v>504</v>
      </c>
      <c r="M4" s="144" t="s">
        <v>519</v>
      </c>
      <c r="N4" s="144" t="s">
        <v>536</v>
      </c>
      <c r="O4" s="144" t="s">
        <v>512</v>
      </c>
      <c r="P4" s="144" t="s">
        <v>547</v>
      </c>
      <c r="Q4" s="144" t="s">
        <v>559</v>
      </c>
      <c r="R4" s="144" t="s">
        <v>649</v>
      </c>
      <c r="S4" s="144" t="s">
        <v>660</v>
      </c>
      <c r="T4" s="144" t="s">
        <v>637</v>
      </c>
      <c r="U4" s="144" t="s">
        <v>651</v>
      </c>
      <c r="V4" s="120" t="s">
        <v>690</v>
      </c>
      <c r="W4" s="143"/>
    </row>
    <row r="5" spans="1:24" x14ac:dyDescent="0.25">
      <c r="A5" s="120" t="s">
        <v>65</v>
      </c>
      <c r="B5" s="120" t="s">
        <v>506</v>
      </c>
      <c r="F5" s="137"/>
      <c r="G5" s="137"/>
      <c r="H5" s="137"/>
      <c r="I5" s="137"/>
      <c r="J5" s="137"/>
      <c r="K5" s="137"/>
      <c r="L5" s="137"/>
      <c r="M5" s="137"/>
      <c r="N5" s="137"/>
      <c r="O5" s="137">
        <v>200</v>
      </c>
      <c r="P5" s="137"/>
      <c r="Q5" s="137"/>
      <c r="R5" s="137"/>
      <c r="S5" s="137"/>
      <c r="T5" s="137"/>
      <c r="U5" s="137"/>
      <c r="V5" s="137"/>
      <c r="W5" s="140">
        <v>200</v>
      </c>
      <c r="X5"/>
    </row>
    <row r="6" spans="1:24" x14ac:dyDescent="0.25">
      <c r="A6" s="120" t="s">
        <v>67</v>
      </c>
      <c r="B6" s="120" t="s">
        <v>68</v>
      </c>
      <c r="F6" s="137"/>
      <c r="G6" s="137"/>
      <c r="H6" s="137"/>
      <c r="I6" s="137"/>
      <c r="J6" s="137">
        <v>96</v>
      </c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40">
        <v>96</v>
      </c>
      <c r="X6"/>
    </row>
    <row r="7" spans="1:24" x14ac:dyDescent="0.25">
      <c r="A7" s="120" t="s">
        <v>107</v>
      </c>
      <c r="B7" s="120" t="s">
        <v>583</v>
      </c>
      <c r="F7" s="137"/>
      <c r="G7" s="137"/>
      <c r="H7" s="137">
        <v>2</v>
      </c>
      <c r="I7" s="137"/>
      <c r="J7" s="137"/>
      <c r="K7" s="137"/>
      <c r="L7" s="137">
        <v>17</v>
      </c>
      <c r="M7" s="137"/>
      <c r="N7" s="137"/>
      <c r="O7" s="137"/>
      <c r="P7" s="137"/>
      <c r="Q7" s="137">
        <v>5</v>
      </c>
      <c r="R7" s="137">
        <v>2</v>
      </c>
      <c r="S7" s="137"/>
      <c r="T7" s="137">
        <v>3</v>
      </c>
      <c r="U7" s="137">
        <v>100</v>
      </c>
      <c r="V7" s="137"/>
      <c r="W7" s="140">
        <v>129</v>
      </c>
      <c r="X7"/>
    </row>
    <row r="8" spans="1:24" x14ac:dyDescent="0.25">
      <c r="A8" s="120" t="s">
        <v>111</v>
      </c>
      <c r="B8" s="120" t="s">
        <v>505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>
        <v>1</v>
      </c>
      <c r="U8" s="137"/>
      <c r="V8" s="137"/>
      <c r="W8" s="140">
        <v>1</v>
      </c>
      <c r="X8"/>
    </row>
    <row r="9" spans="1:24" x14ac:dyDescent="0.25">
      <c r="A9" s="120" t="s">
        <v>327</v>
      </c>
      <c r="B9" s="120" t="s">
        <v>667</v>
      </c>
      <c r="F9" s="137"/>
      <c r="G9" s="137"/>
      <c r="H9" s="137"/>
      <c r="I9" s="137"/>
      <c r="J9" s="137"/>
      <c r="K9" s="137"/>
      <c r="L9" s="137"/>
      <c r="M9" s="137"/>
      <c r="N9" s="137"/>
      <c r="O9" s="137">
        <v>25</v>
      </c>
      <c r="P9" s="137"/>
      <c r="Q9" s="137"/>
      <c r="R9" s="137"/>
      <c r="S9" s="137"/>
      <c r="T9" s="137"/>
      <c r="U9" s="137"/>
      <c r="V9" s="137"/>
      <c r="W9" s="140">
        <v>25</v>
      </c>
      <c r="X9"/>
    </row>
    <row r="10" spans="1:24" x14ac:dyDescent="0.25">
      <c r="A10" s="120" t="s">
        <v>141</v>
      </c>
      <c r="B10" s="120" t="s">
        <v>142</v>
      </c>
      <c r="F10" s="137"/>
      <c r="G10" s="137"/>
      <c r="H10" s="137"/>
      <c r="I10" s="137"/>
      <c r="J10" s="137">
        <v>8</v>
      </c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40">
        <v>8</v>
      </c>
      <c r="X10"/>
    </row>
    <row r="11" spans="1:24" x14ac:dyDescent="0.25">
      <c r="A11" s="120" t="s">
        <v>309</v>
      </c>
      <c r="B11" s="120" t="s">
        <v>585</v>
      </c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>
        <v>5</v>
      </c>
      <c r="R11" s="137"/>
      <c r="S11" s="137"/>
      <c r="T11" s="137"/>
      <c r="U11" s="137">
        <v>200</v>
      </c>
      <c r="V11" s="137"/>
      <c r="W11" s="140">
        <v>205</v>
      </c>
      <c r="X11"/>
    </row>
    <row r="12" spans="1:24" x14ac:dyDescent="0.25">
      <c r="A12" s="120" t="s">
        <v>51</v>
      </c>
      <c r="B12" s="120" t="s">
        <v>582</v>
      </c>
      <c r="F12" s="137"/>
      <c r="G12" s="137"/>
      <c r="H12" s="137">
        <v>2</v>
      </c>
      <c r="I12" s="137"/>
      <c r="J12" s="137"/>
      <c r="K12" s="137"/>
      <c r="L12" s="137">
        <v>53</v>
      </c>
      <c r="M12" s="137"/>
      <c r="N12" s="137"/>
      <c r="O12" s="137"/>
      <c r="P12" s="137"/>
      <c r="Q12" s="137">
        <v>5</v>
      </c>
      <c r="R12" s="137">
        <v>2</v>
      </c>
      <c r="S12" s="137"/>
      <c r="T12" s="137">
        <v>2</v>
      </c>
      <c r="U12" s="137">
        <v>100</v>
      </c>
      <c r="V12" s="137"/>
      <c r="W12" s="140">
        <v>164</v>
      </c>
      <c r="X12"/>
    </row>
    <row r="13" spans="1:24" x14ac:dyDescent="0.25">
      <c r="A13" s="120" t="s">
        <v>139</v>
      </c>
      <c r="B13" s="120" t="s">
        <v>675</v>
      </c>
      <c r="F13" s="137"/>
      <c r="G13" s="137"/>
      <c r="H13" s="137"/>
      <c r="I13" s="137"/>
      <c r="J13" s="137"/>
      <c r="K13" s="137"/>
      <c r="L13" s="137"/>
      <c r="M13" s="137"/>
      <c r="N13" s="137">
        <v>1707</v>
      </c>
      <c r="O13" s="137">
        <v>300</v>
      </c>
      <c r="P13" s="137"/>
      <c r="Q13" s="137">
        <v>5</v>
      </c>
      <c r="R13" s="137"/>
      <c r="S13" s="137"/>
      <c r="T13" s="137">
        <v>1</v>
      </c>
      <c r="U13" s="137">
        <v>300</v>
      </c>
      <c r="V13" s="137"/>
      <c r="W13" s="140">
        <v>2313</v>
      </c>
      <c r="X13"/>
    </row>
    <row r="14" spans="1:24" x14ac:dyDescent="0.25">
      <c r="A14" s="120" t="s">
        <v>343</v>
      </c>
      <c r="B14" s="120" t="s">
        <v>575</v>
      </c>
      <c r="F14" s="137"/>
      <c r="G14" s="137"/>
      <c r="H14" s="137"/>
      <c r="I14" s="137"/>
      <c r="J14" s="137">
        <v>20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40">
        <v>20</v>
      </c>
      <c r="X14"/>
    </row>
    <row r="15" spans="1:24" x14ac:dyDescent="0.25">
      <c r="A15" s="120" t="s">
        <v>336</v>
      </c>
      <c r="B15" s="120" t="s">
        <v>587</v>
      </c>
      <c r="F15" s="137"/>
      <c r="G15" s="137"/>
      <c r="H15" s="137"/>
      <c r="I15" s="137"/>
      <c r="J15" s="137">
        <v>20</v>
      </c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>
        <v>50</v>
      </c>
      <c r="V15" s="137"/>
      <c r="W15" s="140">
        <v>70</v>
      </c>
      <c r="X15"/>
    </row>
    <row r="16" spans="1:24" x14ac:dyDescent="0.25">
      <c r="A16" s="120" t="s">
        <v>330</v>
      </c>
      <c r="B16" s="120" t="s">
        <v>669</v>
      </c>
      <c r="F16" s="137"/>
      <c r="G16" s="137"/>
      <c r="H16" s="137"/>
      <c r="I16" s="137"/>
      <c r="J16" s="137"/>
      <c r="K16" s="137"/>
      <c r="L16" s="137"/>
      <c r="M16" s="137"/>
      <c r="N16" s="137"/>
      <c r="O16" s="137">
        <v>25</v>
      </c>
      <c r="P16" s="137"/>
      <c r="Q16" s="137"/>
      <c r="R16" s="137"/>
      <c r="S16" s="137"/>
      <c r="T16" s="137"/>
      <c r="U16" s="137"/>
      <c r="V16" s="137"/>
      <c r="W16" s="140">
        <v>25</v>
      </c>
      <c r="X16"/>
    </row>
    <row r="17" spans="1:24" x14ac:dyDescent="0.25">
      <c r="A17" s="120" t="s">
        <v>131</v>
      </c>
      <c r="B17" s="120" t="s">
        <v>671</v>
      </c>
      <c r="F17" s="137"/>
      <c r="G17" s="137"/>
      <c r="H17" s="137"/>
      <c r="I17" s="137"/>
      <c r="J17" s="137"/>
      <c r="K17" s="137">
        <v>100</v>
      </c>
      <c r="L17" s="137"/>
      <c r="M17" s="137"/>
      <c r="N17" s="137"/>
      <c r="O17" s="137">
        <v>25</v>
      </c>
      <c r="P17" s="137"/>
      <c r="Q17" s="137">
        <v>5</v>
      </c>
      <c r="R17" s="137"/>
      <c r="S17" s="137"/>
      <c r="T17" s="137"/>
      <c r="U17" s="137">
        <v>50</v>
      </c>
      <c r="V17" s="137"/>
      <c r="W17" s="140">
        <v>180</v>
      </c>
      <c r="X17"/>
    </row>
    <row r="18" spans="1:24" x14ac:dyDescent="0.25">
      <c r="A18" s="120" t="s">
        <v>55</v>
      </c>
      <c r="B18" s="120" t="s">
        <v>56</v>
      </c>
      <c r="F18" s="137"/>
      <c r="G18" s="137"/>
      <c r="H18" s="137"/>
      <c r="I18" s="137"/>
      <c r="J18" s="137">
        <v>16</v>
      </c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40">
        <v>16</v>
      </c>
      <c r="X18"/>
    </row>
    <row r="19" spans="1:24" x14ac:dyDescent="0.25">
      <c r="A19" s="120" t="s">
        <v>59</v>
      </c>
      <c r="B19" s="120" t="s">
        <v>60</v>
      </c>
      <c r="F19" s="137"/>
      <c r="G19" s="137"/>
      <c r="H19" s="137"/>
      <c r="I19" s="137"/>
      <c r="J19" s="137">
        <v>8</v>
      </c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40">
        <v>8</v>
      </c>
      <c r="X19"/>
    </row>
    <row r="20" spans="1:24" x14ac:dyDescent="0.25">
      <c r="A20" s="120" t="s">
        <v>9</v>
      </c>
      <c r="B20" s="120" t="s">
        <v>628</v>
      </c>
      <c r="F20" s="137"/>
      <c r="G20" s="137"/>
      <c r="H20" s="137"/>
      <c r="I20" s="137"/>
      <c r="J20" s="137">
        <v>30</v>
      </c>
      <c r="K20" s="137"/>
      <c r="L20" s="137"/>
      <c r="M20" s="137"/>
      <c r="N20" s="137"/>
      <c r="O20" s="137"/>
      <c r="P20" s="137"/>
      <c r="Q20" s="137"/>
      <c r="R20" s="137"/>
      <c r="S20" s="137"/>
      <c r="T20" s="137">
        <v>1</v>
      </c>
      <c r="U20" s="137"/>
      <c r="V20" s="137"/>
      <c r="W20" s="140">
        <v>31</v>
      </c>
      <c r="X20"/>
    </row>
    <row r="21" spans="1:24" x14ac:dyDescent="0.25">
      <c r="A21" s="120" t="s">
        <v>310</v>
      </c>
      <c r="B21" s="120" t="s">
        <v>596</v>
      </c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>
        <v>10</v>
      </c>
      <c r="R21" s="137">
        <v>2</v>
      </c>
      <c r="S21" s="137"/>
      <c r="T21" s="137"/>
      <c r="U21" s="137">
        <v>300</v>
      </c>
      <c r="V21" s="137"/>
      <c r="W21" s="140">
        <v>312</v>
      </c>
      <c r="X21"/>
    </row>
    <row r="22" spans="1:24" x14ac:dyDescent="0.25">
      <c r="A22" s="120" t="s">
        <v>163</v>
      </c>
      <c r="B22" s="120" t="s">
        <v>613</v>
      </c>
      <c r="F22" s="137"/>
      <c r="G22" s="137"/>
      <c r="H22" s="137">
        <v>2</v>
      </c>
      <c r="I22" s="137"/>
      <c r="J22" s="137">
        <v>30</v>
      </c>
      <c r="K22" s="137"/>
      <c r="L22" s="137">
        <v>53</v>
      </c>
      <c r="M22" s="137"/>
      <c r="N22" s="137"/>
      <c r="O22" s="137"/>
      <c r="P22" s="137"/>
      <c r="Q22" s="137"/>
      <c r="R22" s="137"/>
      <c r="S22" s="137"/>
      <c r="T22" s="137">
        <v>2</v>
      </c>
      <c r="U22" s="137"/>
      <c r="V22" s="137">
        <v>20</v>
      </c>
      <c r="W22" s="140">
        <v>107</v>
      </c>
      <c r="X22"/>
    </row>
    <row r="23" spans="1:24" x14ac:dyDescent="0.25">
      <c r="A23" s="120" t="s">
        <v>167</v>
      </c>
      <c r="B23" s="120" t="s">
        <v>645</v>
      </c>
      <c r="F23" s="137"/>
      <c r="G23" s="137"/>
      <c r="H23" s="137"/>
      <c r="I23" s="137"/>
      <c r="J23" s="137"/>
      <c r="K23" s="137"/>
      <c r="L23" s="137"/>
      <c r="M23" s="137"/>
      <c r="N23" s="137"/>
      <c r="O23" s="137">
        <v>300</v>
      </c>
      <c r="P23" s="137"/>
      <c r="Q23" s="137"/>
      <c r="R23" s="137"/>
      <c r="S23" s="137"/>
      <c r="T23" s="137">
        <v>1</v>
      </c>
      <c r="U23" s="137"/>
      <c r="V23" s="137"/>
      <c r="W23" s="140">
        <v>301</v>
      </c>
      <c r="X23"/>
    </row>
    <row r="24" spans="1:24" x14ac:dyDescent="0.25">
      <c r="A24" s="120" t="s">
        <v>345</v>
      </c>
      <c r="B24" s="120" t="s">
        <v>588</v>
      </c>
      <c r="F24" s="137"/>
      <c r="G24" s="137"/>
      <c r="H24" s="137"/>
      <c r="I24" s="137"/>
      <c r="J24" s="137">
        <v>20</v>
      </c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40">
        <v>20</v>
      </c>
      <c r="X24"/>
    </row>
    <row r="25" spans="1:24" x14ac:dyDescent="0.25">
      <c r="A25" s="120" t="s">
        <v>338</v>
      </c>
      <c r="B25" s="120" t="s">
        <v>588</v>
      </c>
      <c r="F25" s="137"/>
      <c r="G25" s="137"/>
      <c r="H25" s="137"/>
      <c r="I25" s="137"/>
      <c r="J25" s="137">
        <v>20</v>
      </c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>
        <v>50</v>
      </c>
      <c r="V25" s="137"/>
      <c r="W25" s="140">
        <v>70</v>
      </c>
      <c r="X25"/>
    </row>
    <row r="26" spans="1:24" x14ac:dyDescent="0.25">
      <c r="A26" s="120" t="s">
        <v>153</v>
      </c>
      <c r="B26" s="120" t="s">
        <v>590</v>
      </c>
      <c r="F26" s="137"/>
      <c r="G26" s="137"/>
      <c r="H26" s="137"/>
      <c r="I26" s="137"/>
      <c r="J26" s="137"/>
      <c r="K26" s="137">
        <v>100</v>
      </c>
      <c r="L26" s="137"/>
      <c r="M26" s="137"/>
      <c r="N26" s="137"/>
      <c r="O26" s="137">
        <v>25</v>
      </c>
      <c r="P26" s="137"/>
      <c r="Q26" s="137">
        <v>5</v>
      </c>
      <c r="R26" s="137"/>
      <c r="S26" s="137"/>
      <c r="T26" s="137"/>
      <c r="U26" s="137">
        <v>50</v>
      </c>
      <c r="V26" s="137"/>
      <c r="W26" s="140">
        <v>180</v>
      </c>
      <c r="X26"/>
    </row>
    <row r="27" spans="1:24" x14ac:dyDescent="0.25">
      <c r="A27" s="120" t="s">
        <v>195</v>
      </c>
      <c r="B27" s="120" t="s">
        <v>196</v>
      </c>
      <c r="F27" s="137"/>
      <c r="G27" s="137"/>
      <c r="H27" s="137"/>
      <c r="I27" s="137"/>
      <c r="J27" s="137">
        <v>24</v>
      </c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40">
        <v>24</v>
      </c>
      <c r="X27"/>
    </row>
    <row r="28" spans="1:24" x14ac:dyDescent="0.25">
      <c r="A28" s="120" t="s">
        <v>193</v>
      </c>
      <c r="B28" s="120" t="s">
        <v>194</v>
      </c>
      <c r="F28" s="137"/>
      <c r="G28" s="137"/>
      <c r="H28" s="137"/>
      <c r="I28" s="137"/>
      <c r="J28" s="137">
        <v>36</v>
      </c>
      <c r="K28" s="137"/>
      <c r="L28" s="137"/>
      <c r="M28" s="137"/>
      <c r="N28" s="137">
        <v>500</v>
      </c>
      <c r="O28" s="137"/>
      <c r="P28" s="137"/>
      <c r="Q28" s="137"/>
      <c r="R28" s="137"/>
      <c r="S28" s="137"/>
      <c r="T28" s="137"/>
      <c r="U28" s="137"/>
      <c r="V28" s="137"/>
      <c r="W28" s="140">
        <v>536</v>
      </c>
      <c r="X28"/>
    </row>
    <row r="29" spans="1:24" x14ac:dyDescent="0.25">
      <c r="A29" s="120" t="s">
        <v>191</v>
      </c>
      <c r="B29" s="120" t="s">
        <v>589</v>
      </c>
      <c r="F29" s="137"/>
      <c r="G29" s="137"/>
      <c r="H29" s="137"/>
      <c r="I29" s="137"/>
      <c r="J29" s="137">
        <v>24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>
        <v>100</v>
      </c>
      <c r="V29" s="137"/>
      <c r="W29" s="140">
        <v>124</v>
      </c>
      <c r="X29"/>
    </row>
    <row r="30" spans="1:24" x14ac:dyDescent="0.25">
      <c r="A30" s="120" t="s">
        <v>329</v>
      </c>
      <c r="B30" s="120" t="s">
        <v>589</v>
      </c>
      <c r="F30" s="137"/>
      <c r="G30" s="137"/>
      <c r="H30" s="137"/>
      <c r="I30" s="137"/>
      <c r="J30" s="137"/>
      <c r="K30" s="137"/>
      <c r="L30" s="137"/>
      <c r="M30" s="137"/>
      <c r="N30" s="137"/>
      <c r="O30" s="137">
        <v>25</v>
      </c>
      <c r="P30" s="137"/>
      <c r="Q30" s="137"/>
      <c r="R30" s="137"/>
      <c r="S30" s="137"/>
      <c r="T30" s="137"/>
      <c r="U30" s="137">
        <v>100</v>
      </c>
      <c r="V30" s="137"/>
      <c r="W30" s="140">
        <v>125</v>
      </c>
      <c r="X30"/>
    </row>
    <row r="31" spans="1:24" x14ac:dyDescent="0.25">
      <c r="A31" s="120" t="s">
        <v>189</v>
      </c>
      <c r="B31" s="120" t="s">
        <v>589</v>
      </c>
      <c r="F31" s="137"/>
      <c r="G31" s="137"/>
      <c r="H31" s="137"/>
      <c r="I31" s="137"/>
      <c r="J31" s="137">
        <v>36</v>
      </c>
      <c r="K31" s="137">
        <v>100</v>
      </c>
      <c r="L31" s="137"/>
      <c r="M31" s="137"/>
      <c r="N31" s="137"/>
      <c r="O31" s="137">
        <v>25</v>
      </c>
      <c r="P31" s="137"/>
      <c r="Q31" s="137">
        <v>5</v>
      </c>
      <c r="R31" s="137"/>
      <c r="S31" s="137"/>
      <c r="T31" s="137">
        <v>1</v>
      </c>
      <c r="U31" s="137">
        <v>300</v>
      </c>
      <c r="V31" s="137"/>
      <c r="W31" s="140">
        <v>467</v>
      </c>
      <c r="X31"/>
    </row>
    <row r="32" spans="1:24" x14ac:dyDescent="0.25">
      <c r="A32" s="120" t="s">
        <v>387</v>
      </c>
      <c r="B32" s="120" t="s">
        <v>680</v>
      </c>
      <c r="F32" s="137"/>
      <c r="G32" s="137"/>
      <c r="H32" s="137">
        <v>2</v>
      </c>
      <c r="I32" s="137"/>
      <c r="J32" s="137"/>
      <c r="K32" s="137"/>
      <c r="L32" s="137">
        <v>17</v>
      </c>
      <c r="M32" s="137"/>
      <c r="N32" s="137"/>
      <c r="O32" s="137"/>
      <c r="P32" s="137"/>
      <c r="Q32" s="137"/>
      <c r="R32" s="137"/>
      <c r="S32" s="137"/>
      <c r="T32" s="137">
        <v>1</v>
      </c>
      <c r="U32" s="137"/>
      <c r="V32" s="137"/>
      <c r="W32" s="140">
        <v>20</v>
      </c>
      <c r="X32"/>
    </row>
    <row r="33" spans="1:24" x14ac:dyDescent="0.25">
      <c r="A33" s="120" t="s">
        <v>31</v>
      </c>
      <c r="B33" s="120" t="s">
        <v>625</v>
      </c>
      <c r="F33" s="137"/>
      <c r="G33" s="137"/>
      <c r="H33" s="137"/>
      <c r="I33" s="137"/>
      <c r="J33" s="137">
        <v>30</v>
      </c>
      <c r="K33" s="137"/>
      <c r="L33" s="137"/>
      <c r="M33" s="137"/>
      <c r="N33" s="137"/>
      <c r="O33" s="137"/>
      <c r="P33" s="137"/>
      <c r="Q33" s="137"/>
      <c r="R33" s="137"/>
      <c r="S33" s="137"/>
      <c r="T33" s="137">
        <v>1</v>
      </c>
      <c r="U33" s="137"/>
      <c r="V33" s="137"/>
      <c r="W33" s="140">
        <v>31</v>
      </c>
      <c r="X33"/>
    </row>
    <row r="34" spans="1:24" x14ac:dyDescent="0.25">
      <c r="A34" s="120" t="s">
        <v>127</v>
      </c>
      <c r="B34" s="120" t="s">
        <v>128</v>
      </c>
      <c r="F34" s="137"/>
      <c r="G34" s="137"/>
      <c r="H34" s="137"/>
      <c r="I34" s="137"/>
      <c r="J34" s="137"/>
      <c r="K34" s="137"/>
      <c r="L34" s="137"/>
      <c r="M34" s="137"/>
      <c r="N34" s="137">
        <v>150</v>
      </c>
      <c r="O34" s="137"/>
      <c r="P34" s="137"/>
      <c r="Q34" s="137"/>
      <c r="R34" s="137"/>
      <c r="S34" s="137"/>
      <c r="T34" s="137"/>
      <c r="U34" s="137"/>
      <c r="V34" s="137"/>
      <c r="W34" s="140">
        <v>150</v>
      </c>
      <c r="X34"/>
    </row>
    <row r="35" spans="1:24" x14ac:dyDescent="0.25">
      <c r="A35" s="120" t="s">
        <v>33</v>
      </c>
      <c r="B35" s="120" t="s">
        <v>34</v>
      </c>
      <c r="F35" s="137"/>
      <c r="G35" s="137"/>
      <c r="H35" s="137"/>
      <c r="I35" s="137"/>
      <c r="J35" s="137"/>
      <c r="K35" s="137"/>
      <c r="L35" s="137"/>
      <c r="M35" s="137"/>
      <c r="N35" s="137">
        <v>250</v>
      </c>
      <c r="O35" s="137"/>
      <c r="P35" s="137"/>
      <c r="Q35" s="137"/>
      <c r="R35" s="137"/>
      <c r="S35" s="137"/>
      <c r="T35" s="137"/>
      <c r="U35" s="137">
        <v>200</v>
      </c>
      <c r="V35" s="137"/>
      <c r="W35" s="140">
        <v>450</v>
      </c>
      <c r="X35"/>
    </row>
    <row r="36" spans="1:24" x14ac:dyDescent="0.25">
      <c r="A36" s="120" t="s">
        <v>125</v>
      </c>
      <c r="B36" s="120" t="s">
        <v>673</v>
      </c>
      <c r="F36" s="137"/>
      <c r="G36" s="137"/>
      <c r="H36" s="137"/>
      <c r="I36" s="137">
        <v>8</v>
      </c>
      <c r="J36" s="137"/>
      <c r="K36" s="137"/>
      <c r="L36" s="137"/>
      <c r="M36" s="137"/>
      <c r="N36" s="137"/>
      <c r="O36" s="137"/>
      <c r="P36" s="137"/>
      <c r="Q36" s="137">
        <v>5</v>
      </c>
      <c r="R36" s="137">
        <v>2</v>
      </c>
      <c r="S36" s="137"/>
      <c r="T36" s="137">
        <v>1</v>
      </c>
      <c r="U36" s="137">
        <v>350</v>
      </c>
      <c r="V36" s="137"/>
      <c r="W36" s="140">
        <v>366</v>
      </c>
      <c r="X36"/>
    </row>
    <row r="37" spans="1:24" x14ac:dyDescent="0.25">
      <c r="A37" s="120" t="s">
        <v>129</v>
      </c>
      <c r="B37" s="120" t="s">
        <v>130</v>
      </c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>
        <v>200</v>
      </c>
      <c r="V37" s="137"/>
      <c r="W37" s="140">
        <v>200</v>
      </c>
      <c r="X37"/>
    </row>
    <row r="38" spans="1:24" x14ac:dyDescent="0.25">
      <c r="A38" s="120" t="s">
        <v>123</v>
      </c>
      <c r="B38" s="120" t="s">
        <v>124</v>
      </c>
      <c r="F38" s="137"/>
      <c r="G38" s="137"/>
      <c r="H38" s="137"/>
      <c r="I38" s="137"/>
      <c r="J38" s="137"/>
      <c r="K38" s="137"/>
      <c r="L38" s="137"/>
      <c r="M38" s="137"/>
      <c r="N38" s="137"/>
      <c r="O38" s="137">
        <v>25</v>
      </c>
      <c r="P38" s="137"/>
      <c r="Q38" s="137"/>
      <c r="R38" s="137"/>
      <c r="S38" s="137"/>
      <c r="T38" s="137"/>
      <c r="U38" s="137">
        <v>200</v>
      </c>
      <c r="V38" s="137"/>
      <c r="W38" s="140">
        <v>225</v>
      </c>
      <c r="X38"/>
    </row>
    <row r="39" spans="1:24" x14ac:dyDescent="0.25">
      <c r="A39" s="120" t="s">
        <v>119</v>
      </c>
      <c r="B39" s="120" t="s">
        <v>670</v>
      </c>
      <c r="F39" s="137"/>
      <c r="G39" s="137"/>
      <c r="H39" s="137"/>
      <c r="I39" s="137"/>
      <c r="J39" s="137"/>
      <c r="K39" s="137">
        <v>100</v>
      </c>
      <c r="L39" s="137"/>
      <c r="M39" s="137"/>
      <c r="N39" s="137"/>
      <c r="O39" s="137">
        <v>25</v>
      </c>
      <c r="P39" s="137"/>
      <c r="Q39" s="137">
        <v>5</v>
      </c>
      <c r="R39" s="137"/>
      <c r="S39" s="137"/>
      <c r="T39" s="137"/>
      <c r="U39" s="137">
        <v>250</v>
      </c>
      <c r="V39" s="137"/>
      <c r="W39" s="140">
        <v>380</v>
      </c>
      <c r="X39"/>
    </row>
    <row r="40" spans="1:24" x14ac:dyDescent="0.25">
      <c r="A40" s="120" t="s">
        <v>37</v>
      </c>
      <c r="B40" s="120" t="s">
        <v>38</v>
      </c>
      <c r="F40" s="137"/>
      <c r="G40" s="137"/>
      <c r="H40" s="137"/>
      <c r="I40" s="137"/>
      <c r="J40" s="137"/>
      <c r="K40" s="137"/>
      <c r="L40" s="137">
        <v>10</v>
      </c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40">
        <v>10</v>
      </c>
      <c r="X40"/>
    </row>
    <row r="41" spans="1:24" x14ac:dyDescent="0.25">
      <c r="A41" s="120" t="s">
        <v>286</v>
      </c>
      <c r="B41" s="120" t="s">
        <v>648</v>
      </c>
      <c r="F41" s="137"/>
      <c r="G41" s="137"/>
      <c r="H41" s="137"/>
      <c r="I41" s="137"/>
      <c r="J41" s="137"/>
      <c r="K41" s="137"/>
      <c r="L41" s="137"/>
      <c r="M41" s="137"/>
      <c r="N41" s="137"/>
      <c r="O41" s="137">
        <v>10</v>
      </c>
      <c r="P41" s="137"/>
      <c r="Q41" s="137"/>
      <c r="R41" s="137"/>
      <c r="S41" s="137"/>
      <c r="T41" s="137"/>
      <c r="U41" s="137"/>
      <c r="V41" s="137"/>
      <c r="W41" s="140">
        <v>10</v>
      </c>
      <c r="X41"/>
    </row>
    <row r="42" spans="1:24" x14ac:dyDescent="0.25">
      <c r="A42" s="120" t="s">
        <v>376</v>
      </c>
      <c r="B42" s="120" t="s">
        <v>377</v>
      </c>
      <c r="F42" s="137"/>
      <c r="G42" s="137"/>
      <c r="H42" s="137"/>
      <c r="I42" s="137"/>
      <c r="J42" s="137">
        <v>40</v>
      </c>
      <c r="K42" s="137"/>
      <c r="L42" s="137"/>
      <c r="M42" s="137"/>
      <c r="N42" s="137"/>
      <c r="O42" s="137">
        <v>30</v>
      </c>
      <c r="P42" s="137"/>
      <c r="Q42" s="137"/>
      <c r="R42" s="137"/>
      <c r="S42" s="137"/>
      <c r="T42" s="137">
        <v>1</v>
      </c>
      <c r="U42" s="137"/>
      <c r="V42" s="137"/>
      <c r="W42" s="140">
        <v>71</v>
      </c>
      <c r="X42"/>
    </row>
    <row r="43" spans="1:24" x14ac:dyDescent="0.25">
      <c r="A43" s="120" t="s">
        <v>93</v>
      </c>
      <c r="B43" s="120" t="s">
        <v>94</v>
      </c>
      <c r="F43" s="137"/>
      <c r="G43" s="137"/>
      <c r="H43" s="137"/>
      <c r="I43" s="137"/>
      <c r="J43" s="137">
        <v>1800</v>
      </c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40">
        <v>1800</v>
      </c>
      <c r="X43"/>
    </row>
    <row r="44" spans="1:24" x14ac:dyDescent="0.25">
      <c r="A44" s="120" t="s">
        <v>203</v>
      </c>
      <c r="B44" s="120" t="s">
        <v>468</v>
      </c>
      <c r="F44" s="137"/>
      <c r="G44" s="137"/>
      <c r="H44" s="137"/>
      <c r="I44" s="137"/>
      <c r="J44" s="137">
        <v>96</v>
      </c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>
        <v>500</v>
      </c>
      <c r="V44" s="137"/>
      <c r="W44" s="140">
        <v>596</v>
      </c>
      <c r="X44"/>
    </row>
    <row r="45" spans="1:24" x14ac:dyDescent="0.25">
      <c r="A45" s="120" t="s">
        <v>17</v>
      </c>
      <c r="B45" s="120" t="s">
        <v>647</v>
      </c>
      <c r="F45" s="137"/>
      <c r="G45" s="137"/>
      <c r="H45" s="137"/>
      <c r="I45" s="137"/>
      <c r="J45" s="137">
        <v>560</v>
      </c>
      <c r="K45" s="137"/>
      <c r="L45" s="137">
        <v>32</v>
      </c>
      <c r="M45" s="137"/>
      <c r="N45" s="137"/>
      <c r="O45" s="137">
        <v>350</v>
      </c>
      <c r="P45" s="137"/>
      <c r="Q45" s="137"/>
      <c r="R45" s="137"/>
      <c r="S45" s="137"/>
      <c r="T45" s="137"/>
      <c r="U45" s="137">
        <v>500</v>
      </c>
      <c r="V45" s="137"/>
      <c r="W45" s="140">
        <v>1442</v>
      </c>
      <c r="X45"/>
    </row>
    <row r="46" spans="1:24" x14ac:dyDescent="0.25">
      <c r="A46" s="120" t="s">
        <v>205</v>
      </c>
      <c r="B46" s="120" t="s">
        <v>467</v>
      </c>
      <c r="F46" s="137"/>
      <c r="G46" s="137"/>
      <c r="H46" s="137"/>
      <c r="I46" s="137"/>
      <c r="J46" s="137"/>
      <c r="K46" s="137"/>
      <c r="L46" s="137"/>
      <c r="M46" s="137"/>
      <c r="N46" s="137">
        <v>150</v>
      </c>
      <c r="O46" s="137"/>
      <c r="P46" s="137"/>
      <c r="Q46" s="137"/>
      <c r="R46" s="137"/>
      <c r="S46" s="137"/>
      <c r="T46" s="137"/>
      <c r="U46" s="137">
        <v>500</v>
      </c>
      <c r="V46" s="137"/>
      <c r="W46" s="140">
        <v>650</v>
      </c>
      <c r="X46"/>
    </row>
    <row r="47" spans="1:24" x14ac:dyDescent="0.25">
      <c r="A47" s="120" t="s">
        <v>199</v>
      </c>
      <c r="B47" s="120" t="s">
        <v>200</v>
      </c>
      <c r="F47" s="137"/>
      <c r="G47" s="137"/>
      <c r="H47" s="137"/>
      <c r="I47" s="137"/>
      <c r="J47" s="137">
        <v>10</v>
      </c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>
        <v>500</v>
      </c>
      <c r="V47" s="137"/>
      <c r="W47" s="140">
        <v>510</v>
      </c>
      <c r="X47"/>
    </row>
    <row r="48" spans="1:24" x14ac:dyDescent="0.25">
      <c r="A48" s="120" t="s">
        <v>197</v>
      </c>
      <c r="B48" s="120" t="s">
        <v>198</v>
      </c>
      <c r="F48" s="137"/>
      <c r="G48" s="137"/>
      <c r="H48" s="137"/>
      <c r="I48" s="137"/>
      <c r="J48" s="137">
        <v>30</v>
      </c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>
        <v>500</v>
      </c>
      <c r="V48" s="137"/>
      <c r="W48" s="140">
        <v>530</v>
      </c>
      <c r="X48"/>
    </row>
    <row r="49" spans="1:24" x14ac:dyDescent="0.25">
      <c r="A49" s="120" t="s">
        <v>201</v>
      </c>
      <c r="B49" s="120" t="s">
        <v>202</v>
      </c>
      <c r="F49" s="137"/>
      <c r="G49" s="137"/>
      <c r="H49" s="137"/>
      <c r="I49" s="137"/>
      <c r="J49" s="137"/>
      <c r="K49" s="137"/>
      <c r="L49" s="137"/>
      <c r="M49" s="137"/>
      <c r="N49" s="137">
        <v>400</v>
      </c>
      <c r="O49" s="137"/>
      <c r="P49" s="137"/>
      <c r="Q49" s="137"/>
      <c r="R49" s="137"/>
      <c r="S49" s="137"/>
      <c r="T49" s="137"/>
      <c r="U49" s="137">
        <v>500</v>
      </c>
      <c r="V49" s="137"/>
      <c r="W49" s="140">
        <v>900</v>
      </c>
      <c r="X49"/>
    </row>
    <row r="50" spans="1:24" x14ac:dyDescent="0.25">
      <c r="A50" s="120" t="s">
        <v>23</v>
      </c>
      <c r="B50" s="120" t="s">
        <v>24</v>
      </c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>
        <v>500</v>
      </c>
      <c r="V50" s="137"/>
      <c r="W50" s="140">
        <v>500</v>
      </c>
      <c r="X50"/>
    </row>
    <row r="51" spans="1:24" x14ac:dyDescent="0.25">
      <c r="A51" s="120" t="s">
        <v>300</v>
      </c>
      <c r="B51" s="120" t="s">
        <v>301</v>
      </c>
      <c r="D51" s="137">
        <v>24</v>
      </c>
      <c r="E51" s="137">
        <v>16</v>
      </c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40">
        <v>40</v>
      </c>
      <c r="X51"/>
    </row>
    <row r="52" spans="1:24" x14ac:dyDescent="0.25">
      <c r="A52" s="120" t="s">
        <v>77</v>
      </c>
      <c r="B52" s="120" t="s">
        <v>78</v>
      </c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>
        <v>5</v>
      </c>
      <c r="R52" s="137"/>
      <c r="S52" s="137"/>
      <c r="T52" s="137"/>
      <c r="U52" s="137"/>
      <c r="V52" s="137"/>
      <c r="W52" s="140">
        <v>5</v>
      </c>
      <c r="X52"/>
    </row>
    <row r="53" spans="1:24" x14ac:dyDescent="0.25">
      <c r="A53" s="120" t="s">
        <v>222</v>
      </c>
      <c r="B53" s="120" t="s">
        <v>223</v>
      </c>
      <c r="F53" s="137"/>
      <c r="G53" s="137"/>
      <c r="H53" s="137"/>
      <c r="I53" s="137"/>
      <c r="J53" s="137"/>
      <c r="K53" s="137"/>
      <c r="L53" s="137"/>
      <c r="M53" s="137"/>
      <c r="N53" s="137">
        <v>200</v>
      </c>
      <c r="O53" s="137">
        <v>10</v>
      </c>
      <c r="P53" s="137"/>
      <c r="Q53" s="137"/>
      <c r="R53" s="137"/>
      <c r="S53" s="137"/>
      <c r="T53" s="137"/>
      <c r="U53" s="137"/>
      <c r="V53" s="137"/>
      <c r="W53" s="140">
        <v>210</v>
      </c>
      <c r="X53"/>
    </row>
    <row r="54" spans="1:24" x14ac:dyDescent="0.25">
      <c r="A54" s="120" t="s">
        <v>75</v>
      </c>
      <c r="B54" s="120" t="s">
        <v>76</v>
      </c>
      <c r="F54" s="137"/>
      <c r="G54" s="137"/>
      <c r="H54" s="137">
        <v>2</v>
      </c>
      <c r="I54" s="137"/>
      <c r="J54" s="137"/>
      <c r="K54" s="137"/>
      <c r="L54" s="137"/>
      <c r="M54" s="137"/>
      <c r="N54" s="137"/>
      <c r="O54" s="137">
        <v>100</v>
      </c>
      <c r="P54" s="137"/>
      <c r="Q54" s="137">
        <v>5</v>
      </c>
      <c r="R54" s="137"/>
      <c r="S54" s="137"/>
      <c r="T54" s="137"/>
      <c r="U54" s="137"/>
      <c r="V54" s="137"/>
      <c r="W54" s="140">
        <v>107</v>
      </c>
      <c r="X54"/>
    </row>
    <row r="55" spans="1:24" x14ac:dyDescent="0.25">
      <c r="A55" s="120" t="s">
        <v>211</v>
      </c>
      <c r="B55" s="120" t="s">
        <v>681</v>
      </c>
      <c r="F55" s="137">
        <v>38</v>
      </c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>
        <v>2</v>
      </c>
      <c r="R55" s="137"/>
      <c r="S55" s="137"/>
      <c r="T55" s="137"/>
      <c r="U55" s="137"/>
      <c r="V55" s="137"/>
      <c r="W55" s="140">
        <v>40</v>
      </c>
      <c r="X55"/>
    </row>
    <row r="56" spans="1:24" x14ac:dyDescent="0.25">
      <c r="A56" s="120" t="s">
        <v>213</v>
      </c>
      <c r="B56" s="120" t="s">
        <v>461</v>
      </c>
      <c r="F56" s="137">
        <v>59</v>
      </c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40">
        <v>59</v>
      </c>
      <c r="X56"/>
    </row>
    <row r="57" spans="1:24" x14ac:dyDescent="0.25">
      <c r="A57" s="120" t="s">
        <v>313</v>
      </c>
      <c r="B57" s="120" t="s">
        <v>644</v>
      </c>
      <c r="F57" s="137"/>
      <c r="G57" s="137"/>
      <c r="H57" s="137"/>
      <c r="I57" s="137"/>
      <c r="J57" s="137"/>
      <c r="K57" s="137">
        <v>100</v>
      </c>
      <c r="L57" s="137"/>
      <c r="M57" s="137"/>
      <c r="N57" s="137"/>
      <c r="O57" s="137">
        <v>50</v>
      </c>
      <c r="P57" s="137"/>
      <c r="Q57" s="137">
        <v>15</v>
      </c>
      <c r="R57" s="137">
        <v>2</v>
      </c>
      <c r="S57" s="137"/>
      <c r="T57" s="137">
        <v>1</v>
      </c>
      <c r="U57" s="137">
        <v>400</v>
      </c>
      <c r="V57" s="137"/>
      <c r="W57" s="140">
        <v>568</v>
      </c>
      <c r="X57"/>
    </row>
    <row r="58" spans="1:24" x14ac:dyDescent="0.25">
      <c r="A58" s="120" t="s">
        <v>312</v>
      </c>
      <c r="B58" s="120" t="s">
        <v>584</v>
      </c>
      <c r="F58" s="137"/>
      <c r="G58" s="137"/>
      <c r="H58" s="137"/>
      <c r="I58" s="137"/>
      <c r="J58" s="137"/>
      <c r="K58" s="137">
        <v>100</v>
      </c>
      <c r="L58" s="137"/>
      <c r="M58" s="137"/>
      <c r="N58" s="137"/>
      <c r="O58" s="137">
        <v>50</v>
      </c>
      <c r="P58" s="137"/>
      <c r="Q58" s="137">
        <v>15</v>
      </c>
      <c r="R58" s="137">
        <v>2</v>
      </c>
      <c r="S58" s="137"/>
      <c r="T58" s="137"/>
      <c r="U58" s="137">
        <v>400</v>
      </c>
      <c r="V58" s="137"/>
      <c r="W58" s="140">
        <v>567</v>
      </c>
      <c r="X58"/>
    </row>
    <row r="59" spans="1:24" x14ac:dyDescent="0.25">
      <c r="A59" s="120" t="s">
        <v>340</v>
      </c>
      <c r="B59" s="120" t="s">
        <v>668</v>
      </c>
      <c r="F59" s="137"/>
      <c r="G59" s="137"/>
      <c r="H59" s="137"/>
      <c r="I59" s="137"/>
      <c r="J59" s="137"/>
      <c r="K59" s="137">
        <v>100</v>
      </c>
      <c r="L59" s="137"/>
      <c r="M59" s="137"/>
      <c r="N59" s="137"/>
      <c r="O59" s="137">
        <v>50</v>
      </c>
      <c r="P59" s="137"/>
      <c r="Q59" s="137">
        <v>20</v>
      </c>
      <c r="R59" s="137">
        <v>2</v>
      </c>
      <c r="S59" s="137"/>
      <c r="T59" s="137"/>
      <c r="U59" s="137">
        <v>700</v>
      </c>
      <c r="V59" s="137"/>
      <c r="W59" s="140">
        <v>872</v>
      </c>
      <c r="X59"/>
    </row>
    <row r="60" spans="1:24" x14ac:dyDescent="0.25">
      <c r="A60" s="120" t="s">
        <v>315</v>
      </c>
      <c r="B60" s="120" t="s">
        <v>581</v>
      </c>
      <c r="F60" s="137"/>
      <c r="G60" s="137"/>
      <c r="H60" s="137"/>
      <c r="I60" s="137"/>
      <c r="J60" s="137"/>
      <c r="K60" s="137">
        <v>100</v>
      </c>
      <c r="L60" s="137"/>
      <c r="M60" s="137"/>
      <c r="N60" s="137"/>
      <c r="O60" s="137">
        <v>50</v>
      </c>
      <c r="P60" s="137"/>
      <c r="Q60" s="137">
        <v>10</v>
      </c>
      <c r="R60" s="137">
        <v>2</v>
      </c>
      <c r="S60" s="137"/>
      <c r="T60" s="137"/>
      <c r="U60" s="137">
        <v>200</v>
      </c>
      <c r="V60" s="137"/>
      <c r="W60" s="140">
        <v>362</v>
      </c>
      <c r="X60"/>
    </row>
    <row r="61" spans="1:24" x14ac:dyDescent="0.25">
      <c r="A61" s="120" t="s">
        <v>332</v>
      </c>
      <c r="B61" s="120" t="s">
        <v>333</v>
      </c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>
        <v>50</v>
      </c>
      <c r="V61" s="137"/>
      <c r="W61" s="140">
        <v>50</v>
      </c>
      <c r="X61"/>
    </row>
    <row r="62" spans="1:24" x14ac:dyDescent="0.25">
      <c r="A62" s="120" t="s">
        <v>101</v>
      </c>
      <c r="B62" s="120" t="s">
        <v>560</v>
      </c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>
        <v>5</v>
      </c>
      <c r="R62" s="137">
        <v>2</v>
      </c>
      <c r="S62" s="137"/>
      <c r="T62" s="137"/>
      <c r="U62" s="137">
        <v>100</v>
      </c>
      <c r="V62" s="137"/>
      <c r="W62" s="140">
        <v>107</v>
      </c>
      <c r="X62"/>
    </row>
    <row r="63" spans="1:24" x14ac:dyDescent="0.25">
      <c r="A63" s="120" t="s">
        <v>103</v>
      </c>
      <c r="B63" s="120" t="s">
        <v>682</v>
      </c>
      <c r="F63" s="137"/>
      <c r="G63" s="137"/>
      <c r="H63" s="137"/>
      <c r="I63" s="137"/>
      <c r="J63" s="137"/>
      <c r="K63" s="137"/>
      <c r="L63" s="137"/>
      <c r="M63" s="137"/>
      <c r="N63" s="137"/>
      <c r="O63" s="137">
        <v>25</v>
      </c>
      <c r="P63" s="137"/>
      <c r="Q63" s="137"/>
      <c r="R63" s="137"/>
      <c r="S63" s="137"/>
      <c r="T63" s="137"/>
      <c r="U63" s="137"/>
      <c r="V63" s="137"/>
      <c r="W63" s="140">
        <v>25</v>
      </c>
      <c r="X63"/>
    </row>
    <row r="64" spans="1:24" x14ac:dyDescent="0.25">
      <c r="A64" s="120" t="s">
        <v>61</v>
      </c>
      <c r="B64" s="120" t="s">
        <v>684</v>
      </c>
      <c r="F64" s="137"/>
      <c r="G64" s="137"/>
      <c r="H64" s="137"/>
      <c r="I64" s="137"/>
      <c r="J64" s="137"/>
      <c r="K64" s="137">
        <v>100</v>
      </c>
      <c r="L64" s="137"/>
      <c r="M64" s="137"/>
      <c r="N64" s="137"/>
      <c r="O64" s="137">
        <v>25</v>
      </c>
      <c r="P64" s="137"/>
      <c r="Q64" s="137">
        <v>5</v>
      </c>
      <c r="R64" s="137"/>
      <c r="S64" s="137"/>
      <c r="T64" s="137"/>
      <c r="U64" s="137">
        <v>50</v>
      </c>
      <c r="V64" s="137"/>
      <c r="W64" s="140">
        <v>180</v>
      </c>
      <c r="X64"/>
    </row>
    <row r="65" spans="1:24" x14ac:dyDescent="0.25">
      <c r="A65" s="120" t="s">
        <v>303</v>
      </c>
      <c r="B65" s="120" t="s">
        <v>304</v>
      </c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>
        <v>5</v>
      </c>
      <c r="R65" s="137"/>
      <c r="S65" s="137"/>
      <c r="T65" s="137"/>
      <c r="U65" s="137">
        <v>200</v>
      </c>
      <c r="V65" s="137"/>
      <c r="W65" s="140">
        <v>205</v>
      </c>
      <c r="X65"/>
    </row>
    <row r="66" spans="1:24" x14ac:dyDescent="0.25">
      <c r="A66" s="120" t="s">
        <v>451</v>
      </c>
      <c r="B66" s="120" t="s">
        <v>451</v>
      </c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40"/>
      <c r="X66"/>
    </row>
    <row r="67" spans="1:24" x14ac:dyDescent="0.25">
      <c r="A67" s="120" t="s">
        <v>454</v>
      </c>
      <c r="B67" s="120" t="s">
        <v>455</v>
      </c>
      <c r="F67" s="137"/>
      <c r="G67" s="137"/>
      <c r="H67" s="137"/>
      <c r="I67" s="137"/>
      <c r="J67" s="137"/>
      <c r="K67" s="137"/>
      <c r="L67" s="137"/>
      <c r="M67" s="137">
        <v>200</v>
      </c>
      <c r="N67" s="137"/>
      <c r="O67" s="137"/>
      <c r="P67" s="137"/>
      <c r="Q67" s="137"/>
      <c r="R67" s="137"/>
      <c r="S67" s="137"/>
      <c r="T67" s="137"/>
      <c r="U67" s="137"/>
      <c r="V67" s="137"/>
      <c r="W67" s="140">
        <v>200</v>
      </c>
      <c r="X67"/>
    </row>
    <row r="68" spans="1:24" x14ac:dyDescent="0.25">
      <c r="A68" s="120" t="s">
        <v>458</v>
      </c>
      <c r="B68" s="120" t="s">
        <v>459</v>
      </c>
      <c r="E68" s="137">
        <v>32</v>
      </c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>
        <v>500</v>
      </c>
      <c r="V68" s="137"/>
      <c r="W68" s="140">
        <v>532</v>
      </c>
      <c r="X68"/>
    </row>
    <row r="69" spans="1:24" x14ac:dyDescent="0.25">
      <c r="A69" s="120" t="s">
        <v>462</v>
      </c>
      <c r="B69" s="120" t="s">
        <v>463</v>
      </c>
      <c r="F69" s="137"/>
      <c r="G69" s="137">
        <v>48</v>
      </c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40">
        <v>48</v>
      </c>
      <c r="X69"/>
    </row>
    <row r="70" spans="1:24" x14ac:dyDescent="0.25">
      <c r="A70" s="120" t="s">
        <v>465</v>
      </c>
      <c r="B70" s="120" t="s">
        <v>466</v>
      </c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>
        <v>200</v>
      </c>
      <c r="V70" s="137"/>
      <c r="W70" s="140">
        <v>200</v>
      </c>
      <c r="X70"/>
    </row>
    <row r="71" spans="1:24" x14ac:dyDescent="0.25">
      <c r="A71" s="120" t="s">
        <v>469</v>
      </c>
      <c r="B71" s="120" t="s">
        <v>470</v>
      </c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>
        <v>500</v>
      </c>
      <c r="V71" s="137"/>
      <c r="W71" s="140">
        <v>500</v>
      </c>
      <c r="X71"/>
    </row>
    <row r="72" spans="1:24" x14ac:dyDescent="0.25">
      <c r="A72" s="120" t="s">
        <v>471</v>
      </c>
      <c r="B72" s="120" t="s">
        <v>472</v>
      </c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>
        <v>500</v>
      </c>
      <c r="V72" s="137"/>
      <c r="W72" s="140">
        <v>500</v>
      </c>
      <c r="X72"/>
    </row>
    <row r="73" spans="1:24" x14ac:dyDescent="0.25">
      <c r="A73" s="120" t="s">
        <v>473</v>
      </c>
      <c r="B73" s="120" t="s">
        <v>474</v>
      </c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>
        <v>500</v>
      </c>
      <c r="V73" s="137"/>
      <c r="W73" s="140">
        <v>500</v>
      </c>
      <c r="X73"/>
    </row>
    <row r="74" spans="1:24" x14ac:dyDescent="0.25">
      <c r="A74" s="120" t="s">
        <v>475</v>
      </c>
      <c r="B74" s="120" t="s">
        <v>476</v>
      </c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>
        <v>500</v>
      </c>
      <c r="V74" s="137"/>
      <c r="W74" s="140">
        <v>500</v>
      </c>
      <c r="X74"/>
    </row>
    <row r="75" spans="1:24" x14ac:dyDescent="0.25">
      <c r="A75" s="120" t="s">
        <v>477</v>
      </c>
      <c r="B75" s="120" t="s">
        <v>494</v>
      </c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>
        <v>5</v>
      </c>
      <c r="R75" s="137"/>
      <c r="S75" s="137"/>
      <c r="T75" s="137"/>
      <c r="U75" s="137">
        <v>300</v>
      </c>
      <c r="V75" s="137"/>
      <c r="W75" s="140">
        <v>305</v>
      </c>
      <c r="X75"/>
    </row>
    <row r="76" spans="1:24" x14ac:dyDescent="0.25">
      <c r="A76" s="120" t="s">
        <v>478</v>
      </c>
      <c r="B76" s="120" t="s">
        <v>479</v>
      </c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>
        <v>50</v>
      </c>
      <c r="V76" s="137"/>
      <c r="W76" s="140">
        <v>50</v>
      </c>
      <c r="X76"/>
    </row>
    <row r="77" spans="1:24" x14ac:dyDescent="0.25">
      <c r="A77" s="120" t="s">
        <v>480</v>
      </c>
      <c r="B77" s="120" t="s">
        <v>481</v>
      </c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>
        <v>40</v>
      </c>
      <c r="V77" s="137"/>
      <c r="W77" s="140">
        <v>40</v>
      </c>
      <c r="X77"/>
    </row>
    <row r="78" spans="1:24" x14ac:dyDescent="0.25">
      <c r="A78" s="120" t="s">
        <v>482</v>
      </c>
      <c r="B78" s="120" t="s">
        <v>483</v>
      </c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>
        <v>50</v>
      </c>
      <c r="V78" s="137"/>
      <c r="W78" s="140">
        <v>50</v>
      </c>
      <c r="X78"/>
    </row>
    <row r="79" spans="1:24" x14ac:dyDescent="0.25">
      <c r="A79" s="120" t="s">
        <v>484</v>
      </c>
      <c r="B79" s="120" t="s">
        <v>485</v>
      </c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>
        <v>40</v>
      </c>
      <c r="V79" s="137"/>
      <c r="W79" s="140">
        <v>40</v>
      </c>
      <c r="X79"/>
    </row>
    <row r="80" spans="1:24" x14ac:dyDescent="0.25">
      <c r="A80" s="120" t="s">
        <v>486</v>
      </c>
      <c r="B80" s="120" t="s">
        <v>487</v>
      </c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>
        <v>20</v>
      </c>
      <c r="V80" s="137"/>
      <c r="W80" s="140">
        <v>20</v>
      </c>
      <c r="X80"/>
    </row>
    <row r="81" spans="1:24" x14ac:dyDescent="0.25">
      <c r="A81" s="120" t="s">
        <v>488</v>
      </c>
      <c r="B81" s="120" t="s">
        <v>489</v>
      </c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>
        <v>20</v>
      </c>
      <c r="V81" s="137"/>
      <c r="W81" s="140">
        <v>20</v>
      </c>
      <c r="X81"/>
    </row>
    <row r="82" spans="1:24" x14ac:dyDescent="0.25">
      <c r="A82" s="120" t="s">
        <v>490</v>
      </c>
      <c r="B82" s="120" t="s">
        <v>491</v>
      </c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>
        <v>20</v>
      </c>
      <c r="V82" s="137"/>
      <c r="W82" s="140">
        <v>20</v>
      </c>
      <c r="X82"/>
    </row>
    <row r="83" spans="1:24" x14ac:dyDescent="0.25">
      <c r="A83" s="120" t="s">
        <v>492</v>
      </c>
      <c r="B83" s="120" t="s">
        <v>493</v>
      </c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>
        <v>20</v>
      </c>
      <c r="V83" s="137"/>
      <c r="W83" s="140">
        <v>20</v>
      </c>
      <c r="X83"/>
    </row>
    <row r="84" spans="1:24" x14ac:dyDescent="0.25">
      <c r="A84" s="120" t="s">
        <v>495</v>
      </c>
      <c r="B84" s="120" t="s">
        <v>496</v>
      </c>
      <c r="F84" s="137"/>
      <c r="G84" s="137"/>
      <c r="H84" s="137">
        <v>2</v>
      </c>
      <c r="I84" s="137"/>
      <c r="J84" s="137"/>
      <c r="K84" s="137"/>
      <c r="L84" s="137">
        <v>14</v>
      </c>
      <c r="M84" s="137"/>
      <c r="N84" s="137"/>
      <c r="O84" s="137"/>
      <c r="P84" s="137"/>
      <c r="Q84" s="137"/>
      <c r="R84" s="137"/>
      <c r="S84" s="137"/>
      <c r="T84" s="137">
        <v>1</v>
      </c>
      <c r="U84" s="137"/>
      <c r="V84" s="137"/>
      <c r="W84" s="140">
        <v>17</v>
      </c>
      <c r="X84"/>
    </row>
    <row r="85" spans="1:24" x14ac:dyDescent="0.25">
      <c r="A85" s="120" t="s">
        <v>497</v>
      </c>
      <c r="B85" s="120" t="s">
        <v>498</v>
      </c>
      <c r="F85" s="137"/>
      <c r="G85" s="137"/>
      <c r="H85" s="137"/>
      <c r="I85" s="137"/>
      <c r="J85" s="137"/>
      <c r="K85" s="137"/>
      <c r="L85" s="137">
        <v>34</v>
      </c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40">
        <v>34</v>
      </c>
      <c r="X85"/>
    </row>
    <row r="86" spans="1:24" x14ac:dyDescent="0.25">
      <c r="A86" s="120" t="s">
        <v>499</v>
      </c>
      <c r="B86" s="120" t="s">
        <v>639</v>
      </c>
      <c r="F86" s="137"/>
      <c r="G86" s="137"/>
      <c r="H86" s="137"/>
      <c r="I86" s="137"/>
      <c r="J86" s="137"/>
      <c r="K86" s="137"/>
      <c r="L86" s="137">
        <v>15</v>
      </c>
      <c r="M86" s="137"/>
      <c r="N86" s="137"/>
      <c r="O86" s="137">
        <v>50</v>
      </c>
      <c r="P86" s="137"/>
      <c r="Q86" s="137">
        <v>1</v>
      </c>
      <c r="R86" s="137"/>
      <c r="S86" s="137"/>
      <c r="T86" s="137">
        <v>4</v>
      </c>
      <c r="U86" s="137"/>
      <c r="V86" s="137"/>
      <c r="W86" s="140">
        <v>70</v>
      </c>
      <c r="X86"/>
    </row>
    <row r="87" spans="1:24" x14ac:dyDescent="0.25">
      <c r="A87" s="120" t="s">
        <v>500</v>
      </c>
      <c r="B87" s="120" t="s">
        <v>593</v>
      </c>
      <c r="F87" s="137"/>
      <c r="G87" s="137"/>
      <c r="H87" s="137"/>
      <c r="I87" s="137"/>
      <c r="J87" s="137"/>
      <c r="K87" s="137"/>
      <c r="L87" s="137">
        <v>18</v>
      </c>
      <c r="M87" s="137"/>
      <c r="N87" s="137"/>
      <c r="O87" s="137"/>
      <c r="P87" s="137"/>
      <c r="Q87" s="137">
        <v>2</v>
      </c>
      <c r="R87" s="137"/>
      <c r="S87" s="137"/>
      <c r="T87" s="137">
        <v>7</v>
      </c>
      <c r="U87" s="137"/>
      <c r="V87" s="137"/>
      <c r="W87" s="140">
        <v>27</v>
      </c>
      <c r="X87"/>
    </row>
    <row r="88" spans="1:24" x14ac:dyDescent="0.25">
      <c r="A88" s="120" t="s">
        <v>501</v>
      </c>
      <c r="B88" s="120" t="s">
        <v>638</v>
      </c>
      <c r="F88" s="137"/>
      <c r="G88" s="137"/>
      <c r="H88" s="137"/>
      <c r="I88" s="137"/>
      <c r="J88" s="137"/>
      <c r="K88" s="137"/>
      <c r="L88" s="137">
        <v>18</v>
      </c>
      <c r="M88" s="137"/>
      <c r="N88" s="137"/>
      <c r="O88" s="137"/>
      <c r="P88" s="137"/>
      <c r="Q88" s="137">
        <v>2</v>
      </c>
      <c r="R88" s="137"/>
      <c r="S88" s="137"/>
      <c r="T88" s="137">
        <v>7</v>
      </c>
      <c r="U88" s="137"/>
      <c r="V88" s="137"/>
      <c r="W88" s="140">
        <v>27</v>
      </c>
      <c r="X88"/>
    </row>
    <row r="89" spans="1:24" x14ac:dyDescent="0.25">
      <c r="A89" s="120" t="s">
        <v>502</v>
      </c>
      <c r="B89" s="120" t="s">
        <v>662</v>
      </c>
      <c r="F89" s="137"/>
      <c r="G89" s="137"/>
      <c r="H89" s="137"/>
      <c r="I89" s="137"/>
      <c r="J89" s="137"/>
      <c r="K89" s="137"/>
      <c r="L89" s="137">
        <v>4</v>
      </c>
      <c r="M89" s="137"/>
      <c r="N89" s="137"/>
      <c r="O89" s="137"/>
      <c r="P89" s="137"/>
      <c r="Q89" s="137">
        <v>2</v>
      </c>
      <c r="R89" s="137"/>
      <c r="S89" s="137"/>
      <c r="T89" s="137"/>
      <c r="U89" s="137"/>
      <c r="V89" s="137"/>
      <c r="W89" s="140">
        <v>6</v>
      </c>
      <c r="X89"/>
    </row>
    <row r="90" spans="1:24" x14ac:dyDescent="0.25">
      <c r="A90" s="120" t="s">
        <v>503</v>
      </c>
      <c r="B90" s="120" t="s">
        <v>663</v>
      </c>
      <c r="F90" s="137"/>
      <c r="G90" s="137"/>
      <c r="H90" s="137"/>
      <c r="I90" s="137"/>
      <c r="J90" s="137"/>
      <c r="K90" s="137"/>
      <c r="L90" s="137">
        <v>3</v>
      </c>
      <c r="M90" s="137"/>
      <c r="N90" s="137"/>
      <c r="O90" s="137"/>
      <c r="P90" s="137"/>
      <c r="Q90" s="137">
        <v>2</v>
      </c>
      <c r="R90" s="137"/>
      <c r="S90" s="137"/>
      <c r="T90" s="137"/>
      <c r="U90" s="137"/>
      <c r="V90" s="137"/>
      <c r="W90" s="140">
        <v>5</v>
      </c>
      <c r="X90"/>
    </row>
    <row r="91" spans="1:24" x14ac:dyDescent="0.25">
      <c r="A91" s="120" t="s">
        <v>513</v>
      </c>
      <c r="B91" s="120" t="s">
        <v>676</v>
      </c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>
        <v>5</v>
      </c>
      <c r="R91" s="137"/>
      <c r="S91" s="137"/>
      <c r="T91" s="137"/>
      <c r="U91" s="137">
        <v>200</v>
      </c>
      <c r="V91" s="137"/>
      <c r="W91" s="140">
        <v>205</v>
      </c>
      <c r="X91"/>
    </row>
    <row r="92" spans="1:24" x14ac:dyDescent="0.25">
      <c r="A92" s="120" t="s">
        <v>514</v>
      </c>
      <c r="B92" s="120" t="s">
        <v>677</v>
      </c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>
        <v>5</v>
      </c>
      <c r="R92" s="137"/>
      <c r="S92" s="137"/>
      <c r="T92" s="137"/>
      <c r="U92" s="137">
        <v>200</v>
      </c>
      <c r="V92" s="137"/>
      <c r="W92" s="140">
        <v>205</v>
      </c>
      <c r="X92"/>
    </row>
    <row r="93" spans="1:24" x14ac:dyDescent="0.25">
      <c r="A93" s="120" t="s">
        <v>515</v>
      </c>
      <c r="B93" s="120" t="s">
        <v>586</v>
      </c>
      <c r="F93" s="137"/>
      <c r="G93" s="137"/>
      <c r="H93" s="137"/>
      <c r="I93" s="137"/>
      <c r="J93" s="137"/>
      <c r="K93" s="137"/>
      <c r="L93" s="137"/>
      <c r="M93" s="137"/>
      <c r="N93" s="137"/>
      <c r="O93" s="137">
        <v>25</v>
      </c>
      <c r="P93" s="137"/>
      <c r="Q93" s="137">
        <v>5</v>
      </c>
      <c r="R93" s="137"/>
      <c r="S93" s="137"/>
      <c r="T93" s="137"/>
      <c r="U93" s="137">
        <v>100</v>
      </c>
      <c r="V93" s="137"/>
      <c r="W93" s="140">
        <v>130</v>
      </c>
      <c r="X93"/>
    </row>
    <row r="94" spans="1:24" x14ac:dyDescent="0.25">
      <c r="A94" s="120" t="s">
        <v>516</v>
      </c>
      <c r="B94" s="120" t="s">
        <v>674</v>
      </c>
      <c r="F94" s="137"/>
      <c r="G94" s="137"/>
      <c r="H94" s="137"/>
      <c r="I94" s="137"/>
      <c r="J94" s="137"/>
      <c r="K94" s="137"/>
      <c r="L94" s="137"/>
      <c r="M94" s="137"/>
      <c r="N94" s="137">
        <v>2000</v>
      </c>
      <c r="O94" s="137"/>
      <c r="P94" s="137"/>
      <c r="Q94" s="137">
        <v>5</v>
      </c>
      <c r="R94" s="137"/>
      <c r="S94" s="137"/>
      <c r="T94" s="137"/>
      <c r="U94" s="137">
        <v>300</v>
      </c>
      <c r="V94" s="137"/>
      <c r="W94" s="140">
        <v>2305</v>
      </c>
      <c r="X94"/>
    </row>
    <row r="95" spans="1:24" x14ac:dyDescent="0.25">
      <c r="A95" s="120" t="s">
        <v>517</v>
      </c>
      <c r="B95" s="120" t="s">
        <v>591</v>
      </c>
      <c r="F95" s="137"/>
      <c r="G95" s="137"/>
      <c r="H95" s="137"/>
      <c r="I95" s="137"/>
      <c r="J95" s="137"/>
      <c r="K95" s="137"/>
      <c r="L95" s="137"/>
      <c r="M95" s="137"/>
      <c r="N95" s="137">
        <v>1580</v>
      </c>
      <c r="O95" s="137"/>
      <c r="P95" s="137"/>
      <c r="Q95" s="137">
        <v>5</v>
      </c>
      <c r="R95" s="137"/>
      <c r="S95" s="137"/>
      <c r="T95" s="137"/>
      <c r="U95" s="137">
        <v>300</v>
      </c>
      <c r="V95" s="137"/>
      <c r="W95" s="140">
        <v>1885</v>
      </c>
      <c r="X95"/>
    </row>
    <row r="96" spans="1:24" x14ac:dyDescent="0.25">
      <c r="A96" s="120" t="s">
        <v>518</v>
      </c>
      <c r="B96" s="120" t="s">
        <v>592</v>
      </c>
      <c r="F96" s="137"/>
      <c r="G96" s="137"/>
      <c r="H96" s="137"/>
      <c r="I96" s="137"/>
      <c r="J96" s="137"/>
      <c r="K96" s="137"/>
      <c r="L96" s="137"/>
      <c r="M96" s="137"/>
      <c r="N96" s="137"/>
      <c r="O96" s="137">
        <v>25</v>
      </c>
      <c r="P96" s="137"/>
      <c r="Q96" s="137"/>
      <c r="R96" s="137"/>
      <c r="S96" s="137"/>
      <c r="T96" s="137"/>
      <c r="U96" s="137"/>
      <c r="V96" s="137"/>
      <c r="W96" s="140">
        <v>25</v>
      </c>
      <c r="X96"/>
    </row>
    <row r="97" spans="1:24" x14ac:dyDescent="0.25">
      <c r="A97" s="120" t="s">
        <v>507</v>
      </c>
      <c r="B97" s="120" t="s">
        <v>508</v>
      </c>
      <c r="F97" s="137"/>
      <c r="G97" s="137"/>
      <c r="H97" s="137"/>
      <c r="I97" s="137"/>
      <c r="J97" s="137"/>
      <c r="K97" s="137"/>
      <c r="L97" s="137"/>
      <c r="M97" s="137"/>
      <c r="N97" s="137"/>
      <c r="O97" s="137">
        <v>300</v>
      </c>
      <c r="P97" s="137"/>
      <c r="Q97" s="137"/>
      <c r="R97" s="137"/>
      <c r="S97" s="137"/>
      <c r="T97" s="137"/>
      <c r="U97" s="137"/>
      <c r="V97" s="137"/>
      <c r="W97" s="140">
        <v>300</v>
      </c>
      <c r="X97"/>
    </row>
    <row r="98" spans="1:24" x14ac:dyDescent="0.25">
      <c r="A98" s="120" t="s">
        <v>509</v>
      </c>
      <c r="B98" s="120" t="s">
        <v>510</v>
      </c>
      <c r="F98" s="137"/>
      <c r="G98" s="137"/>
      <c r="H98" s="137"/>
      <c r="I98" s="137"/>
      <c r="J98" s="137"/>
      <c r="K98" s="137"/>
      <c r="L98" s="137"/>
      <c r="M98" s="137"/>
      <c r="N98" s="137"/>
      <c r="O98" s="137">
        <v>50</v>
      </c>
      <c r="P98" s="137"/>
      <c r="Q98" s="137"/>
      <c r="R98" s="137"/>
      <c r="S98" s="137"/>
      <c r="T98" s="137"/>
      <c r="U98" s="137"/>
      <c r="V98" s="137"/>
      <c r="W98" s="140">
        <v>50</v>
      </c>
      <c r="X98"/>
    </row>
    <row r="99" spans="1:24" x14ac:dyDescent="0.25">
      <c r="A99" s="120" t="s">
        <v>511</v>
      </c>
      <c r="B99" s="120" t="s">
        <v>672</v>
      </c>
      <c r="F99" s="137"/>
      <c r="G99" s="137"/>
      <c r="H99" s="137"/>
      <c r="I99" s="137"/>
      <c r="J99" s="137"/>
      <c r="K99" s="137"/>
      <c r="L99" s="137"/>
      <c r="M99" s="137"/>
      <c r="N99" s="137"/>
      <c r="O99" s="137">
        <v>201</v>
      </c>
      <c r="P99" s="137"/>
      <c r="Q99" s="137"/>
      <c r="R99" s="137"/>
      <c r="S99" s="137"/>
      <c r="T99" s="137"/>
      <c r="U99" s="137"/>
      <c r="V99" s="137"/>
      <c r="W99" s="140">
        <v>201</v>
      </c>
      <c r="X99"/>
    </row>
    <row r="100" spans="1:24" x14ac:dyDescent="0.25">
      <c r="A100" s="120" t="s">
        <v>520</v>
      </c>
      <c r="B100" s="120" t="s">
        <v>521</v>
      </c>
      <c r="F100" s="137"/>
      <c r="G100" s="137"/>
      <c r="H100" s="137"/>
      <c r="I100" s="137"/>
      <c r="J100" s="137"/>
      <c r="K100" s="137"/>
      <c r="L100" s="137"/>
      <c r="M100" s="137"/>
      <c r="N100" s="137">
        <v>200</v>
      </c>
      <c r="O100" s="137"/>
      <c r="P100" s="137"/>
      <c r="Q100" s="137"/>
      <c r="R100" s="137"/>
      <c r="S100" s="137"/>
      <c r="T100" s="137"/>
      <c r="U100" s="137"/>
      <c r="V100" s="137"/>
      <c r="W100" s="140">
        <v>200</v>
      </c>
      <c r="X100"/>
    </row>
    <row r="101" spans="1:24" x14ac:dyDescent="0.25">
      <c r="A101" s="120" t="s">
        <v>522</v>
      </c>
      <c r="B101" s="120" t="s">
        <v>523</v>
      </c>
      <c r="F101" s="137"/>
      <c r="G101" s="137"/>
      <c r="H101" s="137"/>
      <c r="I101" s="137"/>
      <c r="J101" s="137"/>
      <c r="K101" s="137"/>
      <c r="L101" s="137"/>
      <c r="M101" s="137"/>
      <c r="N101" s="137">
        <v>200</v>
      </c>
      <c r="O101" s="137"/>
      <c r="P101" s="137"/>
      <c r="Q101" s="137"/>
      <c r="R101" s="137"/>
      <c r="S101" s="137"/>
      <c r="T101" s="137"/>
      <c r="U101" s="137"/>
      <c r="V101" s="137"/>
      <c r="W101" s="140">
        <v>200</v>
      </c>
      <c r="X101"/>
    </row>
    <row r="102" spans="1:24" x14ac:dyDescent="0.25">
      <c r="A102" s="120" t="s">
        <v>524</v>
      </c>
      <c r="B102" s="120" t="s">
        <v>525</v>
      </c>
      <c r="F102" s="137"/>
      <c r="G102" s="137"/>
      <c r="H102" s="137"/>
      <c r="I102" s="137"/>
      <c r="J102" s="137"/>
      <c r="K102" s="137"/>
      <c r="L102" s="137"/>
      <c r="M102" s="137"/>
      <c r="N102" s="137">
        <v>200</v>
      </c>
      <c r="O102" s="137"/>
      <c r="P102" s="137"/>
      <c r="Q102" s="137"/>
      <c r="R102" s="137"/>
      <c r="S102" s="137"/>
      <c r="T102" s="137"/>
      <c r="U102" s="137"/>
      <c r="V102" s="137"/>
      <c r="W102" s="140">
        <v>200</v>
      </c>
      <c r="X102"/>
    </row>
    <row r="103" spans="1:24" x14ac:dyDescent="0.25">
      <c r="A103" s="120" t="s">
        <v>526</v>
      </c>
      <c r="B103" s="120" t="s">
        <v>527</v>
      </c>
      <c r="F103" s="137"/>
      <c r="G103" s="137"/>
      <c r="H103" s="137"/>
      <c r="I103" s="137"/>
      <c r="J103" s="137"/>
      <c r="K103" s="137"/>
      <c r="L103" s="137"/>
      <c r="M103" s="137"/>
      <c r="N103" s="137">
        <v>420</v>
      </c>
      <c r="O103" s="137"/>
      <c r="P103" s="137"/>
      <c r="Q103" s="137"/>
      <c r="R103" s="137"/>
      <c r="S103" s="137"/>
      <c r="T103" s="137"/>
      <c r="U103" s="137"/>
      <c r="V103" s="137"/>
      <c r="W103" s="140">
        <v>420</v>
      </c>
      <c r="X103"/>
    </row>
    <row r="104" spans="1:24" x14ac:dyDescent="0.25">
      <c r="A104" s="120" t="s">
        <v>528</v>
      </c>
      <c r="B104" s="120" t="s">
        <v>529</v>
      </c>
      <c r="F104" s="137"/>
      <c r="G104" s="137"/>
      <c r="H104" s="137"/>
      <c r="I104" s="137"/>
      <c r="J104" s="137"/>
      <c r="K104" s="137"/>
      <c r="L104" s="137"/>
      <c r="M104" s="137"/>
      <c r="N104" s="137">
        <v>293</v>
      </c>
      <c r="O104" s="137"/>
      <c r="P104" s="137"/>
      <c r="Q104" s="137"/>
      <c r="R104" s="137"/>
      <c r="S104" s="137"/>
      <c r="T104" s="137"/>
      <c r="U104" s="137"/>
      <c r="V104" s="137"/>
      <c r="W104" s="140">
        <v>293</v>
      </c>
      <c r="X104"/>
    </row>
    <row r="105" spans="1:24" x14ac:dyDescent="0.25">
      <c r="A105" s="120" t="s">
        <v>530</v>
      </c>
      <c r="B105" s="120" t="s">
        <v>531</v>
      </c>
      <c r="F105" s="137"/>
      <c r="G105" s="137"/>
      <c r="H105" s="137"/>
      <c r="I105" s="137"/>
      <c r="J105" s="137"/>
      <c r="K105" s="137"/>
      <c r="L105" s="137"/>
      <c r="M105" s="137"/>
      <c r="N105" s="137">
        <v>100</v>
      </c>
      <c r="O105" s="137"/>
      <c r="P105" s="137"/>
      <c r="Q105" s="137"/>
      <c r="R105" s="137"/>
      <c r="S105" s="137"/>
      <c r="T105" s="137"/>
      <c r="U105" s="137"/>
      <c r="V105" s="137"/>
      <c r="W105" s="140">
        <v>100</v>
      </c>
      <c r="X105"/>
    </row>
    <row r="106" spans="1:24" x14ac:dyDescent="0.25">
      <c r="A106" s="120" t="s">
        <v>532</v>
      </c>
      <c r="B106" s="120" t="s">
        <v>533</v>
      </c>
      <c r="F106" s="137"/>
      <c r="G106" s="137"/>
      <c r="H106" s="137"/>
      <c r="I106" s="137"/>
      <c r="J106" s="137"/>
      <c r="K106" s="137"/>
      <c r="L106" s="137"/>
      <c r="M106" s="137"/>
      <c r="N106" s="137">
        <v>100</v>
      </c>
      <c r="O106" s="137"/>
      <c r="P106" s="137"/>
      <c r="Q106" s="137"/>
      <c r="R106" s="137"/>
      <c r="S106" s="137"/>
      <c r="T106" s="137"/>
      <c r="U106" s="137"/>
      <c r="V106" s="137"/>
      <c r="W106" s="140">
        <v>100</v>
      </c>
      <c r="X106"/>
    </row>
    <row r="107" spans="1:24" x14ac:dyDescent="0.25">
      <c r="A107" s="120" t="s">
        <v>534</v>
      </c>
      <c r="B107" s="120" t="s">
        <v>535</v>
      </c>
      <c r="F107" s="137"/>
      <c r="G107" s="137"/>
      <c r="H107" s="137"/>
      <c r="I107" s="137"/>
      <c r="J107" s="137"/>
      <c r="K107" s="137"/>
      <c r="L107" s="137"/>
      <c r="M107" s="137"/>
      <c r="N107" s="137">
        <v>150</v>
      </c>
      <c r="O107" s="137"/>
      <c r="P107" s="137"/>
      <c r="Q107" s="137"/>
      <c r="R107" s="137"/>
      <c r="S107" s="137"/>
      <c r="T107" s="137"/>
      <c r="U107" s="137"/>
      <c r="V107" s="137"/>
      <c r="W107" s="140">
        <v>150</v>
      </c>
      <c r="X107"/>
    </row>
    <row r="108" spans="1:24" x14ac:dyDescent="0.25">
      <c r="A108" s="120" t="s">
        <v>537</v>
      </c>
      <c r="B108" s="120" t="s">
        <v>538</v>
      </c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>
        <v>5</v>
      </c>
      <c r="Q108" s="137"/>
      <c r="R108" s="137"/>
      <c r="S108" s="137"/>
      <c r="T108" s="137"/>
      <c r="U108" s="137"/>
      <c r="V108" s="137"/>
      <c r="W108" s="140">
        <v>5</v>
      </c>
      <c r="X108"/>
    </row>
    <row r="109" spans="1:24" x14ac:dyDescent="0.25">
      <c r="A109" s="120" t="s">
        <v>539</v>
      </c>
      <c r="B109" s="120" t="s">
        <v>650</v>
      </c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>
        <v>5</v>
      </c>
      <c r="Q109" s="137"/>
      <c r="R109" s="137"/>
      <c r="S109" s="137"/>
      <c r="T109" s="137"/>
      <c r="U109" s="137"/>
      <c r="V109" s="137"/>
      <c r="W109" s="140">
        <v>5</v>
      </c>
      <c r="X109"/>
    </row>
    <row r="110" spans="1:24" x14ac:dyDescent="0.25">
      <c r="A110" s="120" t="s">
        <v>540</v>
      </c>
      <c r="B110" s="120" t="s">
        <v>541</v>
      </c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>
        <v>5</v>
      </c>
      <c r="Q110" s="137"/>
      <c r="R110" s="137"/>
      <c r="S110" s="137"/>
      <c r="T110" s="137"/>
      <c r="U110" s="137"/>
      <c r="V110" s="137"/>
      <c r="W110" s="140">
        <v>5</v>
      </c>
      <c r="X110"/>
    </row>
    <row r="111" spans="1:24" x14ac:dyDescent="0.25">
      <c r="A111" s="120" t="s">
        <v>542</v>
      </c>
      <c r="B111" s="120" t="s">
        <v>646</v>
      </c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>
        <v>5</v>
      </c>
      <c r="Q111" s="137"/>
      <c r="R111" s="137"/>
      <c r="S111" s="137"/>
      <c r="T111" s="137">
        <v>1</v>
      </c>
      <c r="U111" s="137"/>
      <c r="V111" s="137"/>
      <c r="W111" s="140">
        <v>6</v>
      </c>
      <c r="X111"/>
    </row>
    <row r="112" spans="1:24" x14ac:dyDescent="0.25">
      <c r="A112" s="120" t="s">
        <v>543</v>
      </c>
      <c r="B112" s="120" t="s">
        <v>544</v>
      </c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>
        <v>5</v>
      </c>
      <c r="Q112" s="137"/>
      <c r="R112" s="137"/>
      <c r="S112" s="137"/>
      <c r="T112" s="137"/>
      <c r="U112" s="137"/>
      <c r="V112" s="137"/>
      <c r="W112" s="140">
        <v>5</v>
      </c>
      <c r="X112"/>
    </row>
    <row r="113" spans="1:24" x14ac:dyDescent="0.25">
      <c r="A113" s="120" t="s">
        <v>545</v>
      </c>
      <c r="B113" s="120" t="s">
        <v>546</v>
      </c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>
        <v>5</v>
      </c>
      <c r="Q113" s="137"/>
      <c r="R113" s="137"/>
      <c r="S113" s="137"/>
      <c r="T113" s="137"/>
      <c r="U113" s="137"/>
      <c r="V113" s="137"/>
      <c r="W113" s="140">
        <v>5</v>
      </c>
      <c r="X113"/>
    </row>
    <row r="114" spans="1:24" x14ac:dyDescent="0.25">
      <c r="A114" s="120" t="s">
        <v>548</v>
      </c>
      <c r="B114" s="120" t="s">
        <v>615</v>
      </c>
      <c r="F114" s="137"/>
      <c r="G114" s="137"/>
      <c r="H114" s="137"/>
      <c r="I114" s="137">
        <v>1</v>
      </c>
      <c r="J114" s="137"/>
      <c r="K114" s="137"/>
      <c r="L114" s="137"/>
      <c r="M114" s="137"/>
      <c r="N114" s="137"/>
      <c r="O114" s="137"/>
      <c r="P114" s="137"/>
      <c r="Q114" s="137">
        <v>6</v>
      </c>
      <c r="R114" s="137"/>
      <c r="S114" s="137"/>
      <c r="T114" s="137">
        <v>7</v>
      </c>
      <c r="U114" s="137"/>
      <c r="V114" s="137"/>
      <c r="W114" s="140">
        <v>14</v>
      </c>
      <c r="X114"/>
    </row>
    <row r="115" spans="1:24" x14ac:dyDescent="0.25">
      <c r="A115" s="120" t="s">
        <v>549</v>
      </c>
      <c r="B115" s="120" t="s">
        <v>550</v>
      </c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>
        <v>2</v>
      </c>
      <c r="R115" s="137"/>
      <c r="S115" s="137"/>
      <c r="T115" s="137"/>
      <c r="U115" s="137"/>
      <c r="V115" s="137"/>
      <c r="W115" s="140">
        <v>2</v>
      </c>
      <c r="X115"/>
    </row>
    <row r="116" spans="1:24" x14ac:dyDescent="0.25">
      <c r="A116" s="120" t="s">
        <v>551</v>
      </c>
      <c r="B116" s="120" t="s">
        <v>552</v>
      </c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>
        <v>1</v>
      </c>
      <c r="R116" s="137"/>
      <c r="S116" s="137"/>
      <c r="T116" s="137"/>
      <c r="U116" s="137"/>
      <c r="V116" s="137"/>
      <c r="W116" s="140">
        <v>1</v>
      </c>
      <c r="X116"/>
    </row>
    <row r="117" spans="1:24" x14ac:dyDescent="0.25">
      <c r="A117" s="120" t="s">
        <v>553</v>
      </c>
      <c r="B117" s="120" t="s">
        <v>284</v>
      </c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>
        <v>1</v>
      </c>
      <c r="R117" s="137"/>
      <c r="S117" s="137"/>
      <c r="T117" s="137"/>
      <c r="U117" s="137"/>
      <c r="V117" s="137"/>
      <c r="W117" s="140">
        <v>1</v>
      </c>
      <c r="X117"/>
    </row>
    <row r="118" spans="1:24" x14ac:dyDescent="0.25">
      <c r="A118" s="120" t="s">
        <v>554</v>
      </c>
      <c r="B118" s="120" t="s">
        <v>594</v>
      </c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>
        <v>1</v>
      </c>
      <c r="R118" s="137"/>
      <c r="S118" s="137"/>
      <c r="T118" s="137"/>
      <c r="U118" s="137"/>
      <c r="V118" s="137"/>
      <c r="W118" s="140">
        <v>1</v>
      </c>
      <c r="X118"/>
    </row>
    <row r="119" spans="1:24" x14ac:dyDescent="0.25">
      <c r="A119" s="120" t="s">
        <v>555</v>
      </c>
      <c r="B119" s="120" t="s">
        <v>642</v>
      </c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>
        <v>1</v>
      </c>
      <c r="R119" s="137"/>
      <c r="S119" s="137"/>
      <c r="T119" s="137"/>
      <c r="U119" s="137"/>
      <c r="V119" s="137"/>
      <c r="W119" s="140">
        <v>1</v>
      </c>
      <c r="X119"/>
    </row>
    <row r="120" spans="1:24" x14ac:dyDescent="0.25">
      <c r="A120" s="120" t="s">
        <v>556</v>
      </c>
      <c r="B120" s="120" t="s">
        <v>678</v>
      </c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>
        <v>1</v>
      </c>
      <c r="R120" s="137"/>
      <c r="S120" s="137"/>
      <c r="T120" s="137"/>
      <c r="U120" s="137"/>
      <c r="V120" s="137"/>
      <c r="W120" s="140">
        <v>1</v>
      </c>
      <c r="X120"/>
    </row>
    <row r="121" spans="1:24" x14ac:dyDescent="0.25">
      <c r="A121" s="120" t="s">
        <v>557</v>
      </c>
      <c r="B121" s="120" t="s">
        <v>679</v>
      </c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>
        <v>1</v>
      </c>
      <c r="R121" s="137"/>
      <c r="S121" s="137"/>
      <c r="T121" s="137"/>
      <c r="U121" s="137"/>
      <c r="V121" s="137"/>
      <c r="W121" s="140">
        <v>1</v>
      </c>
      <c r="X121"/>
    </row>
    <row r="122" spans="1:24" x14ac:dyDescent="0.25">
      <c r="A122" s="120" t="s">
        <v>558</v>
      </c>
      <c r="B122" s="120" t="s">
        <v>595</v>
      </c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>
        <v>2</v>
      </c>
      <c r="R122" s="137"/>
      <c r="S122" s="137"/>
      <c r="T122" s="137"/>
      <c r="U122" s="137"/>
      <c r="V122" s="137"/>
      <c r="W122" s="140">
        <v>2</v>
      </c>
      <c r="X122"/>
    </row>
    <row r="123" spans="1:24" x14ac:dyDescent="0.25">
      <c r="A123" s="120" t="s">
        <v>561</v>
      </c>
      <c r="B123" s="120" t="s">
        <v>562</v>
      </c>
      <c r="F123" s="137"/>
      <c r="G123" s="137"/>
      <c r="H123" s="137">
        <v>2</v>
      </c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40">
        <v>2</v>
      </c>
      <c r="X123"/>
    </row>
    <row r="124" spans="1:24" x14ac:dyDescent="0.25">
      <c r="A124" s="120">
        <v>571</v>
      </c>
      <c r="B124" s="120" t="s">
        <v>563</v>
      </c>
      <c r="F124" s="137"/>
      <c r="G124" s="137"/>
      <c r="H124" s="137"/>
      <c r="I124" s="137">
        <v>20</v>
      </c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40">
        <v>20</v>
      </c>
      <c r="X124"/>
    </row>
    <row r="125" spans="1:24" x14ac:dyDescent="0.25">
      <c r="A125" s="120" t="s">
        <v>564</v>
      </c>
      <c r="B125" s="120" t="s">
        <v>565</v>
      </c>
      <c r="F125" s="137"/>
      <c r="G125" s="137"/>
      <c r="H125" s="137"/>
      <c r="I125" s="137">
        <v>2</v>
      </c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40">
        <v>2</v>
      </c>
      <c r="X125"/>
    </row>
    <row r="126" spans="1:24" x14ac:dyDescent="0.25">
      <c r="A126" s="120">
        <v>304</v>
      </c>
      <c r="B126" s="120" t="s">
        <v>566</v>
      </c>
      <c r="F126" s="137"/>
      <c r="G126" s="137"/>
      <c r="H126" s="137"/>
      <c r="I126" s="137"/>
      <c r="J126" s="137">
        <v>20</v>
      </c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40">
        <v>20</v>
      </c>
      <c r="X126"/>
    </row>
    <row r="127" spans="1:24" x14ac:dyDescent="0.25">
      <c r="A127" s="120">
        <v>310</v>
      </c>
      <c r="B127" s="120" t="s">
        <v>567</v>
      </c>
      <c r="F127" s="137"/>
      <c r="G127" s="137"/>
      <c r="H127" s="137"/>
      <c r="I127" s="137"/>
      <c r="J127" s="137">
        <v>10</v>
      </c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40">
        <v>10</v>
      </c>
      <c r="X127"/>
    </row>
    <row r="128" spans="1:24" x14ac:dyDescent="0.25">
      <c r="A128" s="120" t="s">
        <v>568</v>
      </c>
      <c r="B128" s="120" t="s">
        <v>618</v>
      </c>
      <c r="F128" s="137"/>
      <c r="G128" s="137"/>
      <c r="H128" s="137"/>
      <c r="I128" s="137"/>
      <c r="J128" s="137">
        <v>16</v>
      </c>
      <c r="K128" s="137"/>
      <c r="L128" s="137"/>
      <c r="M128" s="137"/>
      <c r="N128" s="137"/>
      <c r="O128" s="137"/>
      <c r="P128" s="137"/>
      <c r="Q128" s="137"/>
      <c r="R128" s="137"/>
      <c r="S128" s="137"/>
      <c r="T128" s="137">
        <v>6</v>
      </c>
      <c r="U128" s="137"/>
      <c r="V128" s="137"/>
      <c r="W128" s="140">
        <v>22</v>
      </c>
      <c r="X128"/>
    </row>
    <row r="129" spans="1:24" x14ac:dyDescent="0.25">
      <c r="A129" s="120" t="s">
        <v>569</v>
      </c>
      <c r="B129" s="120" t="s">
        <v>570</v>
      </c>
      <c r="F129" s="137"/>
      <c r="G129" s="137"/>
      <c r="H129" s="137"/>
      <c r="I129" s="137"/>
      <c r="J129" s="137">
        <v>450</v>
      </c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40">
        <v>450</v>
      </c>
      <c r="X129"/>
    </row>
    <row r="130" spans="1:24" x14ac:dyDescent="0.25">
      <c r="A130" s="120" t="s">
        <v>571</v>
      </c>
      <c r="B130" s="120" t="s">
        <v>572</v>
      </c>
      <c r="F130" s="137"/>
      <c r="G130" s="137"/>
      <c r="H130" s="137"/>
      <c r="I130" s="137"/>
      <c r="J130" s="137">
        <v>400</v>
      </c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40">
        <v>400</v>
      </c>
      <c r="X130"/>
    </row>
    <row r="131" spans="1:24" x14ac:dyDescent="0.25">
      <c r="A131" s="120" t="s">
        <v>573</v>
      </c>
      <c r="B131" s="120" t="s">
        <v>574</v>
      </c>
      <c r="F131" s="137"/>
      <c r="G131" s="137"/>
      <c r="H131" s="137"/>
      <c r="I131" s="137"/>
      <c r="J131" s="137">
        <v>200</v>
      </c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40">
        <v>200</v>
      </c>
      <c r="X131"/>
    </row>
    <row r="132" spans="1:24" x14ac:dyDescent="0.25">
      <c r="A132" s="120" t="s">
        <v>576</v>
      </c>
      <c r="B132" s="120" t="s">
        <v>577</v>
      </c>
      <c r="F132" s="137"/>
      <c r="G132" s="137"/>
      <c r="H132" s="137"/>
      <c r="I132" s="137"/>
      <c r="J132" s="137">
        <v>560</v>
      </c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40">
        <v>560</v>
      </c>
      <c r="X132"/>
    </row>
    <row r="133" spans="1:24" x14ac:dyDescent="0.25">
      <c r="A133" s="120" t="s">
        <v>578</v>
      </c>
      <c r="B133" s="120" t="s">
        <v>579</v>
      </c>
      <c r="F133" s="137"/>
      <c r="G133" s="137"/>
      <c r="H133" s="137"/>
      <c r="I133" s="137"/>
      <c r="J133" s="137">
        <v>90</v>
      </c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40">
        <v>90</v>
      </c>
      <c r="X133"/>
    </row>
    <row r="134" spans="1:24" x14ac:dyDescent="0.25">
      <c r="A134" s="120" t="s">
        <v>597</v>
      </c>
      <c r="B134" s="120" t="s">
        <v>612</v>
      </c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>
        <v>2</v>
      </c>
      <c r="U134" s="137"/>
      <c r="V134" s="137"/>
      <c r="W134" s="140">
        <v>2</v>
      </c>
      <c r="X134"/>
    </row>
    <row r="135" spans="1:24" x14ac:dyDescent="0.25">
      <c r="A135" s="120" t="s">
        <v>598</v>
      </c>
      <c r="B135" s="120" t="s">
        <v>599</v>
      </c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>
        <v>1</v>
      </c>
      <c r="U135" s="137"/>
      <c r="V135" s="137"/>
      <c r="W135" s="140">
        <v>1</v>
      </c>
      <c r="X135"/>
    </row>
    <row r="136" spans="1:24" x14ac:dyDescent="0.25">
      <c r="A136" s="120" t="s">
        <v>600</v>
      </c>
      <c r="B136" s="120" t="s">
        <v>601</v>
      </c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>
        <v>1</v>
      </c>
      <c r="U136" s="137"/>
      <c r="V136" s="137"/>
      <c r="W136" s="140">
        <v>1</v>
      </c>
      <c r="X136"/>
    </row>
    <row r="137" spans="1:24" x14ac:dyDescent="0.25">
      <c r="A137" s="120" t="s">
        <v>602</v>
      </c>
      <c r="B137" s="120" t="s">
        <v>616</v>
      </c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>
        <v>7</v>
      </c>
      <c r="U137" s="137"/>
      <c r="V137" s="137"/>
      <c r="W137" s="140">
        <v>7</v>
      </c>
      <c r="X137"/>
    </row>
    <row r="138" spans="1:24" x14ac:dyDescent="0.25">
      <c r="A138" s="120" t="s">
        <v>410</v>
      </c>
      <c r="B138" s="120" t="s">
        <v>617</v>
      </c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>
        <v>7</v>
      </c>
      <c r="U138" s="137"/>
      <c r="V138" s="137">
        <v>20</v>
      </c>
      <c r="W138" s="140">
        <v>27</v>
      </c>
      <c r="X138"/>
    </row>
    <row r="139" spans="1:24" x14ac:dyDescent="0.25">
      <c r="A139" s="120" t="s">
        <v>603</v>
      </c>
      <c r="B139" s="120" t="s">
        <v>604</v>
      </c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>
        <v>12</v>
      </c>
      <c r="U139" s="137"/>
      <c r="V139" s="137"/>
      <c r="W139" s="140">
        <v>12</v>
      </c>
      <c r="X139"/>
    </row>
    <row r="140" spans="1:24" x14ac:dyDescent="0.25">
      <c r="A140" s="120" t="s">
        <v>45</v>
      </c>
      <c r="B140" s="120" t="s">
        <v>46</v>
      </c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>
        <v>1</v>
      </c>
      <c r="U140" s="137"/>
      <c r="V140" s="137"/>
      <c r="W140" s="140">
        <v>1</v>
      </c>
      <c r="X140"/>
    </row>
    <row r="141" spans="1:24" x14ac:dyDescent="0.25">
      <c r="A141" s="120" t="s">
        <v>605</v>
      </c>
      <c r="B141" s="120" t="s">
        <v>606</v>
      </c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>
        <v>10</v>
      </c>
      <c r="U141" s="137"/>
      <c r="V141" s="137"/>
      <c r="W141" s="140">
        <v>10</v>
      </c>
      <c r="X141"/>
    </row>
    <row r="142" spans="1:24" x14ac:dyDescent="0.25">
      <c r="A142" s="120" t="s">
        <v>175</v>
      </c>
      <c r="B142" s="120" t="s">
        <v>176</v>
      </c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>
        <v>2</v>
      </c>
      <c r="U142" s="137"/>
      <c r="V142" s="137"/>
      <c r="W142" s="140">
        <v>2</v>
      </c>
      <c r="X142"/>
    </row>
    <row r="143" spans="1:24" x14ac:dyDescent="0.25">
      <c r="A143" s="120" t="s">
        <v>29</v>
      </c>
      <c r="B143" s="120" t="s">
        <v>30</v>
      </c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>
        <v>1</v>
      </c>
      <c r="U143" s="137"/>
      <c r="V143" s="137"/>
      <c r="W143" s="140">
        <v>1</v>
      </c>
      <c r="X143"/>
    </row>
    <row r="144" spans="1:24" x14ac:dyDescent="0.25">
      <c r="B144" s="120" t="s">
        <v>687</v>
      </c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>
        <v>20</v>
      </c>
      <c r="W144" s="140">
        <v>20</v>
      </c>
      <c r="X144"/>
    </row>
    <row r="145" spans="1:24" x14ac:dyDescent="0.25">
      <c r="A145" s="120" t="s">
        <v>607</v>
      </c>
      <c r="B145" s="120" t="s">
        <v>608</v>
      </c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>
        <v>1</v>
      </c>
      <c r="U145" s="137"/>
      <c r="V145" s="137"/>
      <c r="W145" s="140">
        <v>1</v>
      </c>
      <c r="X145"/>
    </row>
    <row r="146" spans="1:24" x14ac:dyDescent="0.25">
      <c r="A146" s="120" t="s">
        <v>181</v>
      </c>
      <c r="B146" s="120" t="s">
        <v>619</v>
      </c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>
        <v>5</v>
      </c>
      <c r="U146" s="137"/>
      <c r="V146" s="137"/>
      <c r="W146" s="140">
        <v>5</v>
      </c>
      <c r="X146"/>
    </row>
    <row r="147" spans="1:24" x14ac:dyDescent="0.25">
      <c r="A147" s="120" t="s">
        <v>609</v>
      </c>
      <c r="B147" s="120" t="s">
        <v>643</v>
      </c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>
        <v>1</v>
      </c>
      <c r="U147" s="137"/>
      <c r="V147" s="137"/>
      <c r="W147" s="140">
        <v>1</v>
      </c>
      <c r="X147"/>
    </row>
    <row r="148" spans="1:24" x14ac:dyDescent="0.25">
      <c r="A148" s="120" t="s">
        <v>610</v>
      </c>
      <c r="B148" s="120" t="s">
        <v>640</v>
      </c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>
        <v>1</v>
      </c>
      <c r="U148" s="137"/>
      <c r="V148" s="137"/>
      <c r="W148" s="140">
        <v>1</v>
      </c>
      <c r="X148"/>
    </row>
    <row r="149" spans="1:24" x14ac:dyDescent="0.25">
      <c r="A149" s="120" t="s">
        <v>611</v>
      </c>
      <c r="B149" s="120" t="s">
        <v>664</v>
      </c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>
        <v>1</v>
      </c>
      <c r="U149" s="137"/>
      <c r="V149" s="137"/>
      <c r="W149" s="140">
        <v>1</v>
      </c>
      <c r="X149"/>
    </row>
    <row r="150" spans="1:24" x14ac:dyDescent="0.25">
      <c r="A150" s="120" t="s">
        <v>614</v>
      </c>
      <c r="B150" s="120" t="s">
        <v>665</v>
      </c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>
        <v>2</v>
      </c>
      <c r="U150" s="137"/>
      <c r="V150" s="137"/>
      <c r="W150" s="140">
        <v>2</v>
      </c>
      <c r="X150"/>
    </row>
    <row r="151" spans="1:24" x14ac:dyDescent="0.25">
      <c r="A151" s="120" t="s">
        <v>83</v>
      </c>
      <c r="B151" s="120" t="s">
        <v>620</v>
      </c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>
        <v>2</v>
      </c>
      <c r="U151" s="137"/>
      <c r="V151" s="137"/>
      <c r="W151" s="140">
        <v>2</v>
      </c>
      <c r="X151"/>
    </row>
    <row r="152" spans="1:24" x14ac:dyDescent="0.25">
      <c r="A152" s="120" t="s">
        <v>621</v>
      </c>
      <c r="B152" s="120" t="s">
        <v>641</v>
      </c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>
        <v>1</v>
      </c>
      <c r="U152" s="137"/>
      <c r="V152" s="137"/>
      <c r="W152" s="140">
        <v>1</v>
      </c>
      <c r="X152"/>
    </row>
    <row r="153" spans="1:24" x14ac:dyDescent="0.25">
      <c r="A153" s="120" t="s">
        <v>622</v>
      </c>
      <c r="B153" s="120" t="s">
        <v>666</v>
      </c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>
        <v>3</v>
      </c>
      <c r="U153" s="137"/>
      <c r="V153" s="137"/>
      <c r="W153" s="140">
        <v>3</v>
      </c>
      <c r="X153"/>
    </row>
    <row r="154" spans="1:24" x14ac:dyDescent="0.25">
      <c r="A154" s="120" t="s">
        <v>623</v>
      </c>
      <c r="B154" s="120" t="s">
        <v>624</v>
      </c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>
        <v>1</v>
      </c>
      <c r="U154" s="137"/>
      <c r="V154" s="137"/>
      <c r="W154" s="140">
        <v>1</v>
      </c>
      <c r="X154"/>
    </row>
    <row r="155" spans="1:24" x14ac:dyDescent="0.25">
      <c r="A155" s="120" t="s">
        <v>626</v>
      </c>
      <c r="B155" s="120" t="s">
        <v>627</v>
      </c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>
        <v>1</v>
      </c>
      <c r="U155" s="137"/>
      <c r="V155" s="137"/>
      <c r="W155" s="140">
        <v>1</v>
      </c>
      <c r="X155"/>
    </row>
    <row r="156" spans="1:24" x14ac:dyDescent="0.25">
      <c r="A156" s="120" t="s">
        <v>629</v>
      </c>
      <c r="B156" s="120" t="s">
        <v>630</v>
      </c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>
        <v>1</v>
      </c>
      <c r="U156" s="137"/>
      <c r="V156" s="137"/>
      <c r="W156" s="140">
        <v>1</v>
      </c>
      <c r="X156"/>
    </row>
    <row r="157" spans="1:24" x14ac:dyDescent="0.25">
      <c r="A157" s="120" t="s">
        <v>81</v>
      </c>
      <c r="B157" s="120" t="s">
        <v>631</v>
      </c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>
        <v>1</v>
      </c>
      <c r="U157" s="137"/>
      <c r="V157" s="137"/>
      <c r="W157" s="140">
        <v>1</v>
      </c>
      <c r="X157"/>
    </row>
    <row r="158" spans="1:24" x14ac:dyDescent="0.25">
      <c r="A158" s="120" t="s">
        <v>423</v>
      </c>
      <c r="B158" s="120" t="s">
        <v>424</v>
      </c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>
        <v>1</v>
      </c>
      <c r="U158" s="137"/>
      <c r="V158" s="137"/>
      <c r="W158" s="140">
        <v>1</v>
      </c>
      <c r="X158"/>
    </row>
    <row r="159" spans="1:24" x14ac:dyDescent="0.25">
      <c r="A159" s="120" t="s">
        <v>73</v>
      </c>
      <c r="B159" s="120" t="s">
        <v>632</v>
      </c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>
        <v>1</v>
      </c>
      <c r="U159" s="137"/>
      <c r="V159" s="137"/>
      <c r="W159" s="140">
        <v>1</v>
      </c>
      <c r="X159"/>
    </row>
    <row r="160" spans="1:24" x14ac:dyDescent="0.25">
      <c r="A160" s="120" t="s">
        <v>633</v>
      </c>
      <c r="B160" s="120" t="s">
        <v>634</v>
      </c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>
        <v>1</v>
      </c>
      <c r="U160" s="137"/>
      <c r="V160" s="137"/>
      <c r="W160" s="140">
        <v>1</v>
      </c>
      <c r="X160"/>
    </row>
    <row r="161" spans="1:24" x14ac:dyDescent="0.25">
      <c r="A161" s="120" t="s">
        <v>635</v>
      </c>
      <c r="B161" s="120" t="s">
        <v>636</v>
      </c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>
        <v>1</v>
      </c>
      <c r="U161" s="137"/>
      <c r="V161" s="137"/>
      <c r="W161" s="140">
        <v>1</v>
      </c>
      <c r="X161"/>
    </row>
    <row r="162" spans="1:24" x14ac:dyDescent="0.25">
      <c r="A162" s="120" t="s">
        <v>652</v>
      </c>
      <c r="B162" s="120" t="s">
        <v>653</v>
      </c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>
        <v>252</v>
      </c>
      <c r="T162" s="137"/>
      <c r="U162" s="137"/>
      <c r="V162" s="137"/>
      <c r="W162" s="140">
        <v>252</v>
      </c>
      <c r="X162"/>
    </row>
    <row r="163" spans="1:24" x14ac:dyDescent="0.25">
      <c r="A163" s="120" t="s">
        <v>654</v>
      </c>
      <c r="B163" s="120" t="s">
        <v>655</v>
      </c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>
        <v>60</v>
      </c>
      <c r="T163" s="137"/>
      <c r="U163" s="137"/>
      <c r="V163" s="137"/>
      <c r="W163" s="140">
        <v>60</v>
      </c>
      <c r="X163"/>
    </row>
    <row r="164" spans="1:24" x14ac:dyDescent="0.25">
      <c r="A164" s="120" t="s">
        <v>656</v>
      </c>
      <c r="B164" s="120" t="s">
        <v>657</v>
      </c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>
        <v>20</v>
      </c>
      <c r="T164" s="137"/>
      <c r="U164" s="137"/>
      <c r="V164" s="137"/>
      <c r="W164" s="140">
        <v>20</v>
      </c>
      <c r="X164"/>
    </row>
    <row r="165" spans="1:24" x14ac:dyDescent="0.25">
      <c r="A165" s="120" t="s">
        <v>658</v>
      </c>
      <c r="B165" s="120" t="s">
        <v>659</v>
      </c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>
        <v>52</v>
      </c>
      <c r="T165" s="137"/>
      <c r="U165" s="137"/>
      <c r="V165" s="137"/>
      <c r="W165" s="140">
        <v>52</v>
      </c>
      <c r="X165"/>
    </row>
    <row r="166" spans="1:24" x14ac:dyDescent="0.25">
      <c r="A166" s="120" t="s">
        <v>685</v>
      </c>
      <c r="B166" s="120" t="s">
        <v>586</v>
      </c>
      <c r="F166" s="137"/>
      <c r="G166" s="137"/>
      <c r="H166" s="137"/>
      <c r="I166" s="137"/>
      <c r="J166" s="137"/>
      <c r="K166" s="137">
        <v>100</v>
      </c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40">
        <v>100</v>
      </c>
      <c r="X166"/>
    </row>
    <row r="167" spans="1:24" x14ac:dyDescent="0.25">
      <c r="A167" s="120" t="s">
        <v>688</v>
      </c>
      <c r="B167" s="120" t="s">
        <v>689</v>
      </c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>
        <v>20</v>
      </c>
      <c r="W167" s="140">
        <v>20</v>
      </c>
      <c r="X167"/>
    </row>
    <row r="168" spans="1:24" x14ac:dyDescent="0.25">
      <c r="A168" s="120" t="s">
        <v>452</v>
      </c>
      <c r="D168" s="137">
        <v>24</v>
      </c>
      <c r="E168" s="137">
        <v>48</v>
      </c>
      <c r="F168" s="137">
        <v>97</v>
      </c>
      <c r="G168" s="137">
        <v>48</v>
      </c>
      <c r="H168" s="137">
        <v>14</v>
      </c>
      <c r="I168" s="137">
        <v>31</v>
      </c>
      <c r="J168" s="137">
        <v>4700</v>
      </c>
      <c r="K168" s="137">
        <v>1000</v>
      </c>
      <c r="L168" s="137">
        <v>288</v>
      </c>
      <c r="M168" s="137">
        <v>200</v>
      </c>
      <c r="N168" s="137">
        <v>8600</v>
      </c>
      <c r="O168" s="137">
        <v>2401</v>
      </c>
      <c r="P168" s="137">
        <v>30</v>
      </c>
      <c r="Q168" s="137">
        <v>197</v>
      </c>
      <c r="R168" s="137">
        <v>18</v>
      </c>
      <c r="S168" s="137">
        <v>384</v>
      </c>
      <c r="T168" s="137">
        <v>119</v>
      </c>
      <c r="U168" s="137">
        <v>12860</v>
      </c>
      <c r="V168" s="137">
        <v>80</v>
      </c>
      <c r="W168" s="140">
        <v>31139</v>
      </c>
      <c r="X168"/>
    </row>
    <row r="169" spans="1:24" x14ac:dyDescent="0.25">
      <c r="A169"/>
      <c r="B169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/>
      <c r="W169"/>
      <c r="X169"/>
    </row>
    <row r="170" spans="1:24" x14ac:dyDescent="0.25">
      <c r="A170"/>
      <c r="B170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/>
      <c r="W170"/>
      <c r="X170"/>
    </row>
    <row r="171" spans="1:24" x14ac:dyDescent="0.25">
      <c r="A171"/>
      <c r="B171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/>
      <c r="W171"/>
      <c r="X171"/>
    </row>
    <row r="172" spans="1:24" x14ac:dyDescent="0.25">
      <c r="A172"/>
      <c r="B172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/>
      <c r="W172"/>
      <c r="X172"/>
    </row>
    <row r="173" spans="1:24" x14ac:dyDescent="0.25">
      <c r="A173"/>
      <c r="B173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/>
      <c r="W173"/>
      <c r="X173"/>
    </row>
    <row r="174" spans="1:24" x14ac:dyDescent="0.25">
      <c r="A174"/>
      <c r="B174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/>
      <c r="W174"/>
      <c r="X174"/>
    </row>
    <row r="175" spans="1:24" x14ac:dyDescent="0.25">
      <c r="A175"/>
      <c r="B175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/>
      <c r="W175"/>
      <c r="X175"/>
    </row>
    <row r="176" spans="1:24" x14ac:dyDescent="0.25">
      <c r="A176"/>
      <c r="B176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/>
      <c r="W176"/>
      <c r="X176"/>
    </row>
    <row r="177" spans="1:24" x14ac:dyDescent="0.25">
      <c r="A177"/>
      <c r="B177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/>
      <c r="W177"/>
      <c r="X177"/>
    </row>
    <row r="178" spans="1:24" x14ac:dyDescent="0.25">
      <c r="A178"/>
      <c r="B17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/>
      <c r="W178"/>
      <c r="X178"/>
    </row>
    <row r="179" spans="1:24" x14ac:dyDescent="0.25">
      <c r="A179"/>
      <c r="B179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25"/>
      <c r="W179" s="125"/>
      <c r="X179"/>
    </row>
    <row r="180" spans="1:24" x14ac:dyDescent="0.25">
      <c r="A180"/>
      <c r="B180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25"/>
      <c r="W180" s="125"/>
      <c r="X180"/>
    </row>
    <row r="181" spans="1:24" x14ac:dyDescent="0.25">
      <c r="A181"/>
      <c r="B181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25"/>
      <c r="W181" s="125"/>
      <c r="X181"/>
    </row>
    <row r="182" spans="1:24" x14ac:dyDescent="0.25">
      <c r="A182"/>
      <c r="B182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25"/>
      <c r="W182" s="125"/>
      <c r="X182"/>
    </row>
    <row r="183" spans="1:24" x14ac:dyDescent="0.25">
      <c r="A183"/>
      <c r="B183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25"/>
      <c r="W183" s="125"/>
      <c r="X183"/>
    </row>
    <row r="184" spans="1:24" x14ac:dyDescent="0.25">
      <c r="A184"/>
      <c r="B184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25"/>
      <c r="W184" s="125"/>
      <c r="X184"/>
    </row>
    <row r="185" spans="1:24" x14ac:dyDescent="0.25">
      <c r="A185"/>
      <c r="B185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25"/>
      <c r="W185" s="125"/>
      <c r="X185"/>
    </row>
    <row r="186" spans="1:24" x14ac:dyDescent="0.25">
      <c r="A186"/>
      <c r="B186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</row>
    <row r="187" spans="1:24" x14ac:dyDescent="0.25">
      <c r="A187"/>
      <c r="B187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</row>
    <row r="188" spans="1:24" x14ac:dyDescent="0.25">
      <c r="A188"/>
      <c r="B18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</row>
    <row r="189" spans="1:24" x14ac:dyDescent="0.25">
      <c r="A189"/>
      <c r="B189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</row>
    <row r="190" spans="1:24" x14ac:dyDescent="0.25">
      <c r="A190"/>
      <c r="B190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</row>
    <row r="191" spans="1:24" x14ac:dyDescent="0.25">
      <c r="A191"/>
      <c r="B191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</row>
    <row r="192" spans="1:24" x14ac:dyDescent="0.25">
      <c r="A192"/>
      <c r="B192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</row>
    <row r="193" spans="1:21" x14ac:dyDescent="0.25">
      <c r="A193"/>
      <c r="B193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</row>
    <row r="194" spans="1:21" x14ac:dyDescent="0.25">
      <c r="A194"/>
      <c r="B194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</row>
    <row r="195" spans="1:21" x14ac:dyDescent="0.25">
      <c r="A195"/>
      <c r="B195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</row>
    <row r="196" spans="1:21" x14ac:dyDescent="0.25">
      <c r="A196"/>
      <c r="B196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</row>
    <row r="197" spans="1:21" x14ac:dyDescent="0.25">
      <c r="A197"/>
      <c r="B197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</row>
    <row r="198" spans="1:21" x14ac:dyDescent="0.25">
      <c r="A198"/>
      <c r="B19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</row>
    <row r="199" spans="1:21" x14ac:dyDescent="0.25">
      <c r="A199"/>
      <c r="B199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</row>
    <row r="200" spans="1:21" x14ac:dyDescent="0.25">
      <c r="A200"/>
      <c r="B200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</row>
    <row r="201" spans="1:21" x14ac:dyDescent="0.25">
      <c r="A201"/>
      <c r="B201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</row>
    <row r="202" spans="1:21" x14ac:dyDescent="0.25">
      <c r="A202"/>
      <c r="B202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</row>
    <row r="203" spans="1:21" x14ac:dyDescent="0.25">
      <c r="A203"/>
      <c r="B203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</row>
    <row r="204" spans="1:21" x14ac:dyDescent="0.25">
      <c r="A204"/>
      <c r="B204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</row>
    <row r="205" spans="1:21" x14ac:dyDescent="0.25">
      <c r="A205"/>
      <c r="B205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</row>
    <row r="206" spans="1:21" x14ac:dyDescent="0.25">
      <c r="A206"/>
      <c r="B206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D40E-E991-48F5-B85B-E18A2F0DF3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2682-F615-4FFB-B535-54812CD8C9A9}">
  <sheetPr>
    <tabColor rgb="FF00B05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872F-2678-4591-A912-5B55C08C09DC}">
  <sheetPr>
    <tabColor rgb="FF00B050"/>
  </sheetPr>
  <dimension ref="A1:BF94"/>
  <sheetViews>
    <sheetView showGridLines="0" zoomScale="58" zoomScaleNormal="58" workbookViewId="0">
      <pane xSplit="5" ySplit="4" topLeftCell="F5" activePane="bottomRight" state="frozen"/>
      <selection pane="topRight" activeCell="D1" sqref="D1"/>
      <selection pane="bottomLeft" activeCell="A4" sqref="A4"/>
      <selection pane="bottomRight" activeCell="F80" sqref="A8:F80"/>
    </sheetView>
  </sheetViews>
  <sheetFormatPr defaultColWidth="9.140625" defaultRowHeight="15" x14ac:dyDescent="0.25"/>
  <cols>
    <col min="1" max="1" width="9.140625" style="9"/>
    <col min="2" max="2" width="15.42578125" style="9" bestFit="1" customWidth="1"/>
    <col min="3" max="3" width="22.28515625" style="9" bestFit="1" customWidth="1"/>
    <col min="4" max="4" width="25.42578125" style="9" customWidth="1"/>
    <col min="5" max="5" width="6.42578125" style="89" customWidth="1"/>
    <col min="6" max="6" width="25.28515625" style="9" bestFit="1" customWidth="1"/>
    <col min="7" max="7" width="7.28515625" style="9" customWidth="1"/>
    <col min="8" max="8" width="6.42578125" style="9" customWidth="1"/>
    <col min="9" max="17" width="6.85546875" style="9" customWidth="1"/>
    <col min="18" max="18" width="6.85546875" style="8" customWidth="1"/>
    <col min="19" max="19" width="15.42578125" style="90" customWidth="1"/>
    <col min="20" max="20" width="13.28515625" style="91" hidden="1" customWidth="1"/>
    <col min="21" max="21" width="22.28515625" style="91" customWidth="1"/>
    <col min="22" max="22" width="18" style="91" customWidth="1"/>
    <col min="23" max="23" width="32.7109375" style="92" customWidth="1"/>
    <col min="24" max="33" width="4.85546875" style="9" customWidth="1"/>
    <col min="34" max="54" width="4.85546875" style="9" hidden="1" customWidth="1"/>
    <col min="55" max="55" width="10.7109375" style="9" customWidth="1"/>
    <col min="56" max="56" width="10.28515625" style="8" customWidth="1"/>
    <col min="57" max="57" width="6" style="8" customWidth="1"/>
    <col min="58" max="58" width="7.7109375" style="9" customWidth="1"/>
    <col min="59" max="16384" width="9.140625" style="9"/>
  </cols>
  <sheetData>
    <row r="1" spans="1:58" ht="20.100000000000001" customHeight="1" x14ac:dyDescent="0.3">
      <c r="B1" s="1" t="s">
        <v>0</v>
      </c>
      <c r="C1" s="2">
        <v>60300</v>
      </c>
      <c r="D1" s="145" t="s">
        <v>99</v>
      </c>
      <c r="E1" s="3"/>
      <c r="F1" s="148"/>
      <c r="G1" s="148"/>
      <c r="H1" s="149"/>
      <c r="I1" s="149"/>
      <c r="J1" s="149"/>
      <c r="K1" s="149"/>
      <c r="L1" s="149"/>
      <c r="M1" s="151"/>
      <c r="N1" s="177"/>
      <c r="O1" s="177"/>
      <c r="P1" s="177"/>
      <c r="Q1" s="177"/>
      <c r="R1" s="178"/>
      <c r="S1" s="5"/>
      <c r="T1" s="155"/>
      <c r="U1" s="6"/>
      <c r="V1" s="6"/>
      <c r="W1" s="7"/>
      <c r="X1" s="173" t="s">
        <v>1</v>
      </c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67" t="e">
        <f>(BC4/E4)</f>
        <v>#DIV/0!</v>
      </c>
    </row>
    <row r="2" spans="1:58" ht="20.100000000000001" customHeight="1" x14ac:dyDescent="0.3">
      <c r="B2" s="1" t="s">
        <v>2</v>
      </c>
      <c r="C2" s="2" t="s">
        <v>100</v>
      </c>
      <c r="D2" s="146"/>
      <c r="E2" s="10"/>
      <c r="F2" s="4"/>
      <c r="G2" s="4"/>
      <c r="H2" s="150"/>
      <c r="I2" s="150"/>
      <c r="J2" s="150"/>
      <c r="K2" s="150"/>
      <c r="L2" s="150"/>
      <c r="M2" s="179"/>
      <c r="N2" s="179"/>
      <c r="O2" s="179"/>
      <c r="P2" s="179"/>
      <c r="Q2" s="179"/>
      <c r="R2" s="180"/>
      <c r="S2" s="11"/>
      <c r="T2" s="156"/>
      <c r="U2" s="6"/>
      <c r="V2" s="6"/>
      <c r="W2" s="7"/>
      <c r="X2" s="12">
        <v>1</v>
      </c>
      <c r="Y2" s="12">
        <v>2</v>
      </c>
      <c r="Z2" s="12">
        <v>3</v>
      </c>
      <c r="AA2" s="12">
        <v>4</v>
      </c>
      <c r="AB2" s="12">
        <v>5</v>
      </c>
      <c r="AC2" s="12">
        <v>6</v>
      </c>
      <c r="AD2" s="12">
        <v>7</v>
      </c>
      <c r="AE2" s="12">
        <v>8</v>
      </c>
      <c r="AF2" s="12">
        <v>9</v>
      </c>
      <c r="AG2" s="12">
        <v>10</v>
      </c>
      <c r="AH2" s="12">
        <v>11</v>
      </c>
      <c r="AI2" s="12">
        <v>12</v>
      </c>
      <c r="AJ2" s="12">
        <v>13</v>
      </c>
      <c r="AK2" s="12">
        <v>14</v>
      </c>
      <c r="AL2" s="12">
        <v>15</v>
      </c>
      <c r="AM2" s="12">
        <v>16</v>
      </c>
      <c r="AN2" s="12">
        <v>17</v>
      </c>
      <c r="AO2" s="12">
        <v>18</v>
      </c>
      <c r="AP2" s="12">
        <v>19</v>
      </c>
      <c r="AQ2" s="12">
        <v>20</v>
      </c>
      <c r="AR2" s="12">
        <v>21</v>
      </c>
      <c r="AS2" s="12">
        <v>22</v>
      </c>
      <c r="AT2" s="12">
        <v>23</v>
      </c>
      <c r="AU2" s="12">
        <v>24</v>
      </c>
      <c r="AV2" s="12">
        <v>25</v>
      </c>
      <c r="AW2" s="12">
        <v>26</v>
      </c>
      <c r="AX2" s="12">
        <v>27</v>
      </c>
      <c r="AY2" s="12">
        <v>28</v>
      </c>
      <c r="AZ2" s="12">
        <v>29</v>
      </c>
      <c r="BA2" s="12">
        <v>30</v>
      </c>
      <c r="BB2" s="12">
        <v>31</v>
      </c>
      <c r="BC2" s="168"/>
      <c r="BF2" s="9">
        <f>SUM(BF8:BF80)</f>
        <v>0</v>
      </c>
    </row>
    <row r="3" spans="1:58" ht="18" customHeight="1" x14ac:dyDescent="0.25">
      <c r="B3" s="13"/>
      <c r="C3" s="13"/>
      <c r="D3" s="146"/>
      <c r="E3" s="14"/>
      <c r="F3" s="15"/>
      <c r="G3" s="15"/>
      <c r="H3" s="169"/>
      <c r="I3" s="171"/>
      <c r="J3" s="172"/>
      <c r="K3" s="157"/>
      <c r="L3" s="157"/>
      <c r="M3" s="157"/>
      <c r="N3" s="157"/>
      <c r="O3" s="157"/>
      <c r="P3" s="157"/>
      <c r="Q3" s="157"/>
      <c r="R3" s="157"/>
      <c r="S3" s="159"/>
      <c r="T3" s="161"/>
      <c r="U3" s="175"/>
      <c r="V3" s="163"/>
      <c r="W3" s="165"/>
      <c r="X3" s="16"/>
      <c r="Y3" s="16"/>
      <c r="Z3" s="16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8" t="s">
        <v>5</v>
      </c>
      <c r="BD3" s="19" t="s">
        <v>6</v>
      </c>
      <c r="BE3" s="20" t="s">
        <v>7</v>
      </c>
      <c r="BF3" s="20" t="s">
        <v>8</v>
      </c>
    </row>
    <row r="4" spans="1:58" ht="17.25" customHeight="1" x14ac:dyDescent="0.25">
      <c r="B4" s="21"/>
      <c r="C4" s="21"/>
      <c r="D4" s="147"/>
      <c r="E4" s="22"/>
      <c r="F4" s="15"/>
      <c r="G4" s="15"/>
      <c r="H4" s="170"/>
      <c r="I4" s="23"/>
      <c r="J4" s="23"/>
      <c r="K4" s="158"/>
      <c r="L4" s="158"/>
      <c r="M4" s="158"/>
      <c r="N4" s="158"/>
      <c r="O4" s="158"/>
      <c r="P4" s="158"/>
      <c r="Q4" s="158"/>
      <c r="R4" s="158"/>
      <c r="S4" s="160"/>
      <c r="T4" s="162"/>
      <c r="U4" s="176"/>
      <c r="V4" s="164"/>
      <c r="W4" s="166"/>
      <c r="X4" s="24">
        <v>1</v>
      </c>
      <c r="Y4" s="25">
        <v>2</v>
      </c>
      <c r="Z4" s="25">
        <v>3</v>
      </c>
      <c r="AA4" s="26">
        <v>4</v>
      </c>
      <c r="AB4" s="26">
        <v>5</v>
      </c>
      <c r="AC4" s="26">
        <v>6</v>
      </c>
      <c r="AD4" s="26">
        <v>7</v>
      </c>
      <c r="AE4" s="26">
        <v>8</v>
      </c>
      <c r="AF4" s="26">
        <v>9</v>
      </c>
      <c r="AG4" s="26">
        <v>10</v>
      </c>
      <c r="AH4" s="26">
        <v>11</v>
      </c>
      <c r="AI4" s="26">
        <v>12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7">
        <f>SUM(BC8:BC88)</f>
        <v>0</v>
      </c>
      <c r="BD4" s="28"/>
      <c r="BE4" s="29"/>
      <c r="BF4" s="29"/>
    </row>
    <row r="5" spans="1:58" ht="16.5" customHeight="1" x14ac:dyDescent="0.25">
      <c r="B5" s="30"/>
      <c r="C5" s="31"/>
      <c r="D5" s="32"/>
      <c r="E5" s="33"/>
      <c r="F5" s="34"/>
      <c r="G5" s="34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6"/>
      <c r="T5" s="37"/>
      <c r="U5" s="37"/>
      <c r="V5" s="37"/>
      <c r="W5" s="38"/>
      <c r="X5" s="39"/>
      <c r="Y5" s="40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35">
        <f>SUM(BC8:BC186)</f>
        <v>0</v>
      </c>
      <c r="BD5" s="42"/>
      <c r="BE5" s="42"/>
      <c r="BF5" s="43"/>
    </row>
    <row r="6" spans="1:58" ht="16.5" customHeight="1" x14ac:dyDescent="0.25">
      <c r="B6" s="30"/>
      <c r="C6" s="31"/>
      <c r="D6" s="32"/>
      <c r="E6" s="33"/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6"/>
      <c r="T6" s="37"/>
      <c r="U6" s="37"/>
      <c r="V6" s="37"/>
      <c r="W6" s="38"/>
      <c r="X6" s="39"/>
      <c r="Y6" s="40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4">
        <f>BC5</f>
        <v>0</v>
      </c>
      <c r="BD6" s="42"/>
      <c r="BE6" s="42"/>
      <c r="BF6" s="43"/>
    </row>
    <row r="7" spans="1:58" ht="16.5" customHeight="1" x14ac:dyDescent="0.25">
      <c r="A7" s="9" t="s">
        <v>450</v>
      </c>
      <c r="B7" s="45" t="s">
        <v>445</v>
      </c>
      <c r="C7" s="31" t="s">
        <v>446</v>
      </c>
      <c r="D7" s="32" t="s">
        <v>447</v>
      </c>
      <c r="E7" s="33" t="s">
        <v>448</v>
      </c>
      <c r="F7" s="34" t="s">
        <v>449</v>
      </c>
      <c r="G7" s="34"/>
      <c r="H7" s="35"/>
      <c r="I7" s="35"/>
      <c r="J7" s="35"/>
      <c r="K7" s="46"/>
      <c r="L7" s="46"/>
      <c r="M7" s="46"/>
      <c r="N7" s="46"/>
      <c r="O7" s="46"/>
      <c r="P7" s="46"/>
      <c r="Q7" s="46"/>
      <c r="R7" s="46"/>
      <c r="S7" s="47"/>
      <c r="T7" s="37"/>
      <c r="U7" s="37"/>
      <c r="V7" s="37"/>
      <c r="W7" s="38"/>
      <c r="X7" s="39"/>
      <c r="Y7" s="40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6" t="e">
        <f>BC6/$E$4</f>
        <v>#DIV/0!</v>
      </c>
      <c r="BD7" s="42"/>
      <c r="BE7" s="42"/>
      <c r="BF7" s="43"/>
    </row>
    <row r="8" spans="1:58" ht="16.5" customHeight="1" x14ac:dyDescent="0.25">
      <c r="A8" s="9" t="s">
        <v>100</v>
      </c>
      <c r="B8" s="94">
        <v>8477</v>
      </c>
      <c r="C8" s="88" t="s">
        <v>101</v>
      </c>
      <c r="D8" s="88" t="s">
        <v>102</v>
      </c>
      <c r="E8" s="95">
        <v>15</v>
      </c>
      <c r="F8" s="117">
        <v>46290</v>
      </c>
      <c r="G8" s="96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/>
      <c r="T8" s="99"/>
      <c r="U8" s="99"/>
      <c r="V8" s="99"/>
      <c r="W8" s="100"/>
      <c r="X8" s="56"/>
      <c r="Y8" s="57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>
        <f>SUM(X8:BB8)</f>
        <v>0</v>
      </c>
      <c r="BD8" s="60" t="str">
        <f t="shared" ref="BD8:BD16" si="0">IF(BC8=E8,"Complete","Lacking")</f>
        <v>Lacking</v>
      </c>
      <c r="BE8" s="61">
        <f t="shared" ref="BE8:BE16" si="1">E8-BC8</f>
        <v>15</v>
      </c>
      <c r="BF8" s="62">
        <f t="shared" ref="BF8:BF16" si="2">BC8*G8</f>
        <v>0</v>
      </c>
    </row>
    <row r="9" spans="1:58" ht="16.5" customHeight="1" x14ac:dyDescent="0.25">
      <c r="A9" s="9" t="s">
        <v>100</v>
      </c>
      <c r="B9" s="94">
        <v>8477</v>
      </c>
      <c r="C9" s="88" t="s">
        <v>103</v>
      </c>
      <c r="D9" s="88" t="s">
        <v>104</v>
      </c>
      <c r="E9" s="95">
        <v>5</v>
      </c>
      <c r="F9" s="117">
        <v>46290</v>
      </c>
      <c r="G9" s="96"/>
      <c r="H9" s="97"/>
      <c r="I9" s="97"/>
      <c r="J9" s="97"/>
      <c r="K9" s="97"/>
      <c r="L9" s="97"/>
      <c r="N9" s="97"/>
      <c r="O9" s="97"/>
      <c r="P9" s="97"/>
      <c r="Q9" s="97"/>
      <c r="R9" s="97"/>
      <c r="S9" s="98"/>
      <c r="T9" s="99"/>
      <c r="U9" s="99"/>
      <c r="V9" s="99"/>
      <c r="W9" s="10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59">
        <f t="shared" ref="BC9:BC80" si="3">SUM(X9:BB9)</f>
        <v>0</v>
      </c>
      <c r="BD9" s="60" t="str">
        <f t="shared" si="0"/>
        <v>Lacking</v>
      </c>
      <c r="BE9" s="61">
        <f t="shared" si="1"/>
        <v>5</v>
      </c>
      <c r="BF9" s="62">
        <f t="shared" si="2"/>
        <v>0</v>
      </c>
    </row>
    <row r="10" spans="1:58" ht="16.5" customHeight="1" x14ac:dyDescent="0.25">
      <c r="A10" s="9" t="s">
        <v>100</v>
      </c>
      <c r="B10" s="94">
        <v>8477</v>
      </c>
      <c r="C10" s="88" t="s">
        <v>105</v>
      </c>
      <c r="D10" s="88" t="s">
        <v>106</v>
      </c>
      <c r="E10" s="101">
        <v>10</v>
      </c>
      <c r="F10" s="117">
        <v>46290</v>
      </c>
      <c r="G10" s="96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8"/>
      <c r="T10" s="99"/>
      <c r="U10" s="99"/>
      <c r="V10" s="99"/>
      <c r="W10" s="10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59">
        <f t="shared" si="3"/>
        <v>0</v>
      </c>
      <c r="BD10" s="60" t="str">
        <f t="shared" si="0"/>
        <v>Lacking</v>
      </c>
      <c r="BE10" s="61">
        <f t="shared" si="1"/>
        <v>10</v>
      </c>
      <c r="BF10" s="62">
        <f t="shared" si="2"/>
        <v>0</v>
      </c>
    </row>
    <row r="11" spans="1:58" s="69" customFormat="1" ht="16.5" customHeight="1" x14ac:dyDescent="0.25">
      <c r="A11" s="9" t="s">
        <v>100</v>
      </c>
      <c r="B11" s="102">
        <v>8477</v>
      </c>
      <c r="C11" s="103" t="s">
        <v>107</v>
      </c>
      <c r="D11" s="103" t="s">
        <v>108</v>
      </c>
      <c r="E11" s="104">
        <v>10</v>
      </c>
      <c r="F11" s="117">
        <v>46290</v>
      </c>
      <c r="G11" s="105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7"/>
      <c r="T11" s="108"/>
      <c r="U11" s="108"/>
      <c r="V11" s="108"/>
      <c r="W11" s="109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>
        <f t="shared" si="3"/>
        <v>0</v>
      </c>
      <c r="BD11" s="65" t="str">
        <f t="shared" si="0"/>
        <v>Lacking</v>
      </c>
      <c r="BE11" s="67">
        <f t="shared" si="1"/>
        <v>10</v>
      </c>
      <c r="BF11" s="68">
        <f t="shared" si="2"/>
        <v>0</v>
      </c>
    </row>
    <row r="12" spans="1:58" s="69" customFormat="1" ht="16.5" customHeight="1" x14ac:dyDescent="0.25">
      <c r="A12" s="9" t="s">
        <v>100</v>
      </c>
      <c r="B12" s="102">
        <v>8477</v>
      </c>
      <c r="C12" s="103" t="s">
        <v>109</v>
      </c>
      <c r="D12" s="103" t="s">
        <v>110</v>
      </c>
      <c r="E12" s="104">
        <v>10</v>
      </c>
      <c r="F12" s="117">
        <v>46290</v>
      </c>
      <c r="G12" s="105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7"/>
      <c r="T12" s="108"/>
      <c r="U12" s="108"/>
      <c r="V12" s="108"/>
      <c r="W12" s="109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6">
        <f t="shared" si="3"/>
        <v>0</v>
      </c>
      <c r="BD12" s="65" t="str">
        <f t="shared" si="0"/>
        <v>Lacking</v>
      </c>
      <c r="BE12" s="67">
        <f t="shared" si="1"/>
        <v>10</v>
      </c>
      <c r="BF12" s="68">
        <f t="shared" si="2"/>
        <v>0</v>
      </c>
    </row>
    <row r="13" spans="1:58" s="69" customFormat="1" ht="16.5" customHeight="1" x14ac:dyDescent="0.25">
      <c r="A13" s="9" t="s">
        <v>100</v>
      </c>
      <c r="B13" s="102">
        <v>8477</v>
      </c>
      <c r="C13" s="103" t="s">
        <v>111</v>
      </c>
      <c r="D13" s="103" t="s">
        <v>112</v>
      </c>
      <c r="E13" s="104">
        <v>10</v>
      </c>
      <c r="F13" s="117">
        <v>46290</v>
      </c>
      <c r="G13" s="105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7"/>
      <c r="T13" s="108"/>
      <c r="U13" s="108"/>
      <c r="V13" s="108"/>
      <c r="W13" s="109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>
        <f t="shared" si="3"/>
        <v>0</v>
      </c>
      <c r="BD13" s="65" t="str">
        <f t="shared" si="0"/>
        <v>Lacking</v>
      </c>
      <c r="BE13" s="67">
        <f t="shared" si="1"/>
        <v>10</v>
      </c>
      <c r="BF13" s="68">
        <f t="shared" si="2"/>
        <v>0</v>
      </c>
    </row>
    <row r="14" spans="1:58" s="69" customFormat="1" ht="16.5" customHeight="1" x14ac:dyDescent="0.25">
      <c r="A14" s="9" t="s">
        <v>100</v>
      </c>
      <c r="B14" s="102">
        <v>8477</v>
      </c>
      <c r="C14" s="103" t="s">
        <v>113</v>
      </c>
      <c r="D14" s="103" t="s">
        <v>114</v>
      </c>
      <c r="E14" s="110">
        <v>10</v>
      </c>
      <c r="F14" s="117">
        <v>46290</v>
      </c>
      <c r="G14" s="105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7"/>
      <c r="T14" s="108"/>
      <c r="U14" s="108"/>
      <c r="V14" s="108"/>
      <c r="W14" s="109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6">
        <f t="shared" si="3"/>
        <v>0</v>
      </c>
      <c r="BD14" s="65" t="str">
        <f t="shared" si="0"/>
        <v>Lacking</v>
      </c>
      <c r="BE14" s="67">
        <f t="shared" si="1"/>
        <v>10</v>
      </c>
      <c r="BF14" s="68">
        <f t="shared" si="2"/>
        <v>0</v>
      </c>
    </row>
    <row r="15" spans="1:58" s="69" customFormat="1" ht="16.5" customHeight="1" x14ac:dyDescent="0.25">
      <c r="A15" s="9" t="s">
        <v>100</v>
      </c>
      <c r="B15" s="102">
        <v>8477</v>
      </c>
      <c r="C15" s="103" t="s">
        <v>115</v>
      </c>
      <c r="D15" s="103" t="s">
        <v>116</v>
      </c>
      <c r="E15" s="110">
        <v>10</v>
      </c>
      <c r="F15" s="117">
        <v>46290</v>
      </c>
      <c r="G15" s="105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7"/>
      <c r="T15" s="108"/>
      <c r="U15" s="108"/>
      <c r="V15" s="108"/>
      <c r="W15" s="109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6">
        <f t="shared" si="3"/>
        <v>0</v>
      </c>
      <c r="BD15" s="65" t="str">
        <f t="shared" si="0"/>
        <v>Lacking</v>
      </c>
      <c r="BE15" s="67">
        <f t="shared" si="1"/>
        <v>10</v>
      </c>
      <c r="BF15" s="68">
        <f t="shared" si="2"/>
        <v>0</v>
      </c>
    </row>
    <row r="16" spans="1:58" ht="16.5" customHeight="1" x14ac:dyDescent="0.25">
      <c r="A16" s="9" t="s">
        <v>100</v>
      </c>
      <c r="B16" s="94">
        <v>8477</v>
      </c>
      <c r="C16" s="88" t="s">
        <v>117</v>
      </c>
      <c r="D16" s="88" t="s">
        <v>118</v>
      </c>
      <c r="E16" s="101">
        <v>10</v>
      </c>
      <c r="F16" s="117">
        <v>46290</v>
      </c>
      <c r="G16" s="96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8"/>
      <c r="T16" s="99"/>
      <c r="U16" s="99"/>
      <c r="V16" s="99"/>
      <c r="W16" s="10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59">
        <f t="shared" si="3"/>
        <v>0</v>
      </c>
      <c r="BD16" s="60" t="str">
        <f t="shared" si="0"/>
        <v>Lacking</v>
      </c>
      <c r="BE16" s="61">
        <f t="shared" si="1"/>
        <v>10</v>
      </c>
      <c r="BF16" s="62">
        <f t="shared" si="2"/>
        <v>0</v>
      </c>
    </row>
    <row r="17" spans="1:58" ht="16.5" customHeight="1" x14ac:dyDescent="0.25">
      <c r="A17" s="9" t="s">
        <v>100</v>
      </c>
      <c r="B17" s="94">
        <v>8477</v>
      </c>
      <c r="C17" s="88" t="s">
        <v>119</v>
      </c>
      <c r="D17" s="88" t="s">
        <v>120</v>
      </c>
      <c r="E17" s="95">
        <v>20</v>
      </c>
      <c r="F17" s="117">
        <v>46290</v>
      </c>
      <c r="G17" s="96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8"/>
      <c r="T17" s="99"/>
      <c r="U17" s="99"/>
      <c r="V17" s="99"/>
      <c r="W17" s="10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59"/>
      <c r="BD17" s="60"/>
      <c r="BE17" s="61"/>
      <c r="BF17" s="62"/>
    </row>
    <row r="18" spans="1:58" ht="16.5" customHeight="1" x14ac:dyDescent="0.25">
      <c r="A18" s="9" t="s">
        <v>100</v>
      </c>
      <c r="B18" s="94">
        <v>8477</v>
      </c>
      <c r="C18" s="88" t="s">
        <v>121</v>
      </c>
      <c r="D18" s="88" t="s">
        <v>122</v>
      </c>
      <c r="E18" s="95">
        <v>20</v>
      </c>
      <c r="F18" s="117">
        <v>46290</v>
      </c>
      <c r="G18" s="96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8"/>
      <c r="T18" s="99"/>
      <c r="U18" s="99"/>
      <c r="V18" s="99"/>
      <c r="W18" s="10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59"/>
      <c r="BD18" s="60"/>
      <c r="BE18" s="61"/>
      <c r="BF18" s="62"/>
    </row>
    <row r="19" spans="1:58" ht="16.5" customHeight="1" x14ac:dyDescent="0.25">
      <c r="A19" s="9" t="s">
        <v>100</v>
      </c>
      <c r="B19" s="94">
        <v>8477</v>
      </c>
      <c r="C19" s="88" t="s">
        <v>123</v>
      </c>
      <c r="D19" s="88" t="s">
        <v>124</v>
      </c>
      <c r="E19" s="95">
        <v>10</v>
      </c>
      <c r="F19" s="117">
        <v>46290</v>
      </c>
      <c r="G19" s="96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9"/>
      <c r="U19" s="99"/>
      <c r="V19" s="99"/>
      <c r="W19" s="10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59"/>
      <c r="BD19" s="60"/>
      <c r="BE19" s="61"/>
      <c r="BF19" s="62"/>
    </row>
    <row r="20" spans="1:58" ht="16.5" customHeight="1" x14ac:dyDescent="0.25">
      <c r="A20" s="9" t="s">
        <v>100</v>
      </c>
      <c r="B20" s="94">
        <v>8477</v>
      </c>
      <c r="C20" s="88" t="s">
        <v>125</v>
      </c>
      <c r="D20" s="88" t="s">
        <v>126</v>
      </c>
      <c r="E20" s="95">
        <v>15</v>
      </c>
      <c r="F20" s="117">
        <v>46290</v>
      </c>
      <c r="G20" s="96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8"/>
      <c r="T20" s="99"/>
      <c r="U20" s="99"/>
      <c r="V20" s="99"/>
      <c r="W20" s="10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59"/>
      <c r="BD20" s="60"/>
      <c r="BE20" s="61"/>
      <c r="BF20" s="62"/>
    </row>
    <row r="21" spans="1:58" ht="16.5" customHeight="1" x14ac:dyDescent="0.25">
      <c r="A21" s="9" t="s">
        <v>100</v>
      </c>
      <c r="B21" s="94">
        <v>8477</v>
      </c>
      <c r="C21" s="88" t="s">
        <v>127</v>
      </c>
      <c r="D21" s="88" t="s">
        <v>128</v>
      </c>
      <c r="E21" s="95">
        <v>15</v>
      </c>
      <c r="F21" s="117">
        <v>46290</v>
      </c>
      <c r="G21" s="96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8"/>
      <c r="T21" s="99"/>
      <c r="U21" s="99"/>
      <c r="V21" s="99"/>
      <c r="W21" s="10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59"/>
      <c r="BD21" s="60"/>
      <c r="BE21" s="61"/>
      <c r="BF21" s="62"/>
    </row>
    <row r="22" spans="1:58" ht="16.5" customHeight="1" x14ac:dyDescent="0.25">
      <c r="A22" s="9" t="s">
        <v>100</v>
      </c>
      <c r="B22" s="94">
        <v>8477</v>
      </c>
      <c r="C22" s="88" t="s">
        <v>129</v>
      </c>
      <c r="D22" s="88" t="s">
        <v>130</v>
      </c>
      <c r="E22" s="95">
        <v>15</v>
      </c>
      <c r="F22" s="117">
        <v>46290</v>
      </c>
      <c r="G22" s="96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8"/>
      <c r="T22" s="99"/>
      <c r="U22" s="99"/>
      <c r="V22" s="99"/>
      <c r="W22" s="10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59"/>
      <c r="BD22" s="60"/>
      <c r="BE22" s="61"/>
      <c r="BF22" s="62"/>
    </row>
    <row r="23" spans="1:58" ht="16.5" customHeight="1" x14ac:dyDescent="0.25">
      <c r="A23" s="9" t="s">
        <v>100</v>
      </c>
      <c r="B23" s="94">
        <v>8477</v>
      </c>
      <c r="C23" s="88" t="s">
        <v>33</v>
      </c>
      <c r="D23" s="88" t="s">
        <v>34</v>
      </c>
      <c r="E23" s="95">
        <v>10</v>
      </c>
      <c r="F23" s="117">
        <v>46290</v>
      </c>
      <c r="G23" s="96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8"/>
      <c r="T23" s="99"/>
      <c r="U23" s="99"/>
      <c r="V23" s="99"/>
      <c r="W23" s="10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59"/>
      <c r="BD23" s="60"/>
      <c r="BE23" s="61"/>
      <c r="BF23" s="62"/>
    </row>
    <row r="24" spans="1:58" ht="16.5" customHeight="1" x14ac:dyDescent="0.25">
      <c r="A24" s="9" t="s">
        <v>100</v>
      </c>
      <c r="B24" s="94">
        <v>8477</v>
      </c>
      <c r="C24" s="88" t="s">
        <v>131</v>
      </c>
      <c r="D24" s="88" t="s">
        <v>132</v>
      </c>
      <c r="E24" s="101">
        <v>12</v>
      </c>
      <c r="F24" s="117">
        <v>46290</v>
      </c>
      <c r="G24" s="96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8"/>
      <c r="T24" s="99"/>
      <c r="U24" s="99"/>
      <c r="V24" s="99"/>
      <c r="W24" s="10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59">
        <f t="shared" si="3"/>
        <v>0</v>
      </c>
      <c r="BD24" s="60" t="str">
        <f>IF(BC24=E24,"Complete","Lacking")</f>
        <v>Lacking</v>
      </c>
      <c r="BE24" s="61">
        <f>E24-BC24</f>
        <v>12</v>
      </c>
      <c r="BF24" s="62">
        <f>BC24*G24</f>
        <v>0</v>
      </c>
    </row>
    <row r="25" spans="1:58" ht="16.5" customHeight="1" x14ac:dyDescent="0.25">
      <c r="A25" s="9" t="s">
        <v>100</v>
      </c>
      <c r="B25" s="94">
        <v>8477</v>
      </c>
      <c r="C25" s="88" t="s">
        <v>133</v>
      </c>
      <c r="D25" s="88" t="s">
        <v>134</v>
      </c>
      <c r="E25" s="95">
        <v>8</v>
      </c>
      <c r="F25" s="117">
        <v>46290</v>
      </c>
      <c r="G25" s="96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8"/>
      <c r="T25" s="99"/>
      <c r="U25" s="99"/>
      <c r="V25" s="99"/>
      <c r="W25" s="10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59"/>
      <c r="BD25" s="60"/>
      <c r="BE25" s="61"/>
      <c r="BF25" s="62"/>
    </row>
    <row r="26" spans="1:58" ht="33" customHeight="1" x14ac:dyDescent="0.25">
      <c r="A26" s="9" t="s">
        <v>100</v>
      </c>
      <c r="B26" s="94">
        <v>8477</v>
      </c>
      <c r="C26" s="88" t="s">
        <v>55</v>
      </c>
      <c r="D26" s="88" t="s">
        <v>56</v>
      </c>
      <c r="E26" s="95">
        <v>5</v>
      </c>
      <c r="F26" s="117">
        <v>46290</v>
      </c>
      <c r="G26" s="96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8"/>
      <c r="T26" s="99"/>
      <c r="U26" s="99"/>
      <c r="V26" s="99"/>
      <c r="W26" s="10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59"/>
      <c r="BD26" s="60"/>
      <c r="BE26" s="61"/>
      <c r="BF26" s="62"/>
    </row>
    <row r="27" spans="1:58" ht="16.5" customHeight="1" x14ac:dyDescent="0.25">
      <c r="A27" s="9" t="s">
        <v>100</v>
      </c>
      <c r="B27" s="94">
        <v>8477</v>
      </c>
      <c r="C27" s="88" t="s">
        <v>135</v>
      </c>
      <c r="D27" s="88" t="s">
        <v>136</v>
      </c>
      <c r="E27" s="95">
        <v>5</v>
      </c>
      <c r="F27" s="117">
        <v>46290</v>
      </c>
      <c r="G27" s="96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8"/>
      <c r="T27" s="99"/>
      <c r="U27" s="99"/>
      <c r="V27" s="99"/>
      <c r="W27" s="10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59"/>
      <c r="BD27" s="60"/>
      <c r="BE27" s="61"/>
      <c r="BF27" s="62"/>
    </row>
    <row r="28" spans="1:58" ht="16.5" customHeight="1" x14ac:dyDescent="0.25">
      <c r="A28" s="9" t="s">
        <v>100</v>
      </c>
      <c r="B28" s="94">
        <v>8477</v>
      </c>
      <c r="C28" s="88" t="s">
        <v>51</v>
      </c>
      <c r="D28" s="88" t="s">
        <v>52</v>
      </c>
      <c r="E28" s="95">
        <v>24</v>
      </c>
      <c r="F28" s="117">
        <v>46290</v>
      </c>
      <c r="G28" s="96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8"/>
      <c r="T28" s="99"/>
      <c r="U28" s="99"/>
      <c r="V28" s="99"/>
      <c r="W28" s="10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59"/>
      <c r="BD28" s="60"/>
      <c r="BE28" s="61"/>
      <c r="BF28" s="62"/>
    </row>
    <row r="29" spans="1:58" ht="16.5" customHeight="1" x14ac:dyDescent="0.25">
      <c r="A29" s="9" t="s">
        <v>100</v>
      </c>
      <c r="B29" s="94">
        <v>8477</v>
      </c>
      <c r="C29" s="88" t="s">
        <v>137</v>
      </c>
      <c r="D29" s="88" t="s">
        <v>138</v>
      </c>
      <c r="E29" s="95">
        <v>24</v>
      </c>
      <c r="F29" s="117">
        <v>46290</v>
      </c>
      <c r="G29" s="96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8"/>
      <c r="T29" s="99"/>
      <c r="U29" s="99"/>
      <c r="V29" s="99"/>
      <c r="W29" s="10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59"/>
      <c r="BD29" s="60"/>
      <c r="BE29" s="61"/>
      <c r="BF29" s="62"/>
    </row>
    <row r="30" spans="1:58" ht="16.5" customHeight="1" x14ac:dyDescent="0.25">
      <c r="A30" s="9" t="s">
        <v>100</v>
      </c>
      <c r="B30" s="94">
        <v>8477</v>
      </c>
      <c r="C30" s="88" t="s">
        <v>139</v>
      </c>
      <c r="D30" s="88" t="s">
        <v>140</v>
      </c>
      <c r="E30" s="95">
        <v>24</v>
      </c>
      <c r="F30" s="117">
        <v>46290</v>
      </c>
      <c r="G30" s="96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8"/>
      <c r="T30" s="99"/>
      <c r="U30" s="99"/>
      <c r="V30" s="99"/>
      <c r="W30" s="10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59"/>
      <c r="BD30" s="60"/>
      <c r="BE30" s="61"/>
      <c r="BF30" s="62"/>
    </row>
    <row r="31" spans="1:58" ht="16.5" customHeight="1" x14ac:dyDescent="0.25">
      <c r="A31" s="9" t="s">
        <v>100</v>
      </c>
      <c r="B31" s="94">
        <v>8477</v>
      </c>
      <c r="C31" s="88" t="s">
        <v>141</v>
      </c>
      <c r="D31" s="88" t="s">
        <v>142</v>
      </c>
      <c r="E31" s="95">
        <v>5</v>
      </c>
      <c r="F31" s="117">
        <v>46290</v>
      </c>
      <c r="G31" s="9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8"/>
      <c r="T31" s="99"/>
      <c r="U31" s="99"/>
      <c r="V31" s="99"/>
      <c r="W31" s="10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59"/>
      <c r="BD31" s="60"/>
      <c r="BE31" s="61"/>
      <c r="BF31" s="62"/>
    </row>
    <row r="32" spans="1:58" ht="16.5" customHeight="1" x14ac:dyDescent="0.25">
      <c r="A32" s="9" t="s">
        <v>100</v>
      </c>
      <c r="B32" s="94">
        <v>8477</v>
      </c>
      <c r="C32" s="88" t="s">
        <v>143</v>
      </c>
      <c r="D32" s="88" t="s">
        <v>144</v>
      </c>
      <c r="E32" s="95">
        <v>5</v>
      </c>
      <c r="F32" s="117">
        <v>46290</v>
      </c>
      <c r="G32" s="96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8"/>
      <c r="T32" s="99"/>
      <c r="U32" s="99"/>
      <c r="V32" s="99"/>
      <c r="W32" s="10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59">
        <f t="shared" si="3"/>
        <v>0</v>
      </c>
      <c r="BD32" s="60" t="str">
        <f>IF(BC32=E32,"Complete","Lacking")</f>
        <v>Lacking</v>
      </c>
      <c r="BE32" s="61">
        <f>E32-BC32</f>
        <v>5</v>
      </c>
      <c r="BF32" s="62">
        <f>BC32*G32</f>
        <v>0</v>
      </c>
    </row>
    <row r="33" spans="1:58" ht="16.5" customHeight="1" x14ac:dyDescent="0.25">
      <c r="A33" s="9" t="s">
        <v>100</v>
      </c>
      <c r="B33" s="94">
        <v>8477</v>
      </c>
      <c r="C33" s="88" t="s">
        <v>145</v>
      </c>
      <c r="D33" s="88" t="s">
        <v>146</v>
      </c>
      <c r="E33" s="95">
        <v>5</v>
      </c>
      <c r="F33" s="117">
        <v>46290</v>
      </c>
      <c r="G33" s="96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8"/>
      <c r="T33" s="99"/>
      <c r="U33" s="99"/>
      <c r="V33" s="99"/>
      <c r="W33" s="10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59"/>
      <c r="BD33" s="60"/>
      <c r="BE33" s="61"/>
      <c r="BF33" s="62"/>
    </row>
    <row r="34" spans="1:58" ht="16.5" customHeight="1" x14ac:dyDescent="0.25">
      <c r="A34" s="9" t="s">
        <v>100</v>
      </c>
      <c r="B34" s="94">
        <v>8477</v>
      </c>
      <c r="C34" s="88" t="s">
        <v>147</v>
      </c>
      <c r="D34" s="88" t="s">
        <v>148</v>
      </c>
      <c r="E34" s="95">
        <v>10</v>
      </c>
      <c r="F34" s="117">
        <v>46290</v>
      </c>
      <c r="G34" s="96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8"/>
      <c r="T34" s="99"/>
      <c r="U34" s="99"/>
      <c r="V34" s="99"/>
      <c r="W34" s="10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59"/>
      <c r="BD34" s="60"/>
      <c r="BE34" s="61"/>
      <c r="BF34" s="62"/>
    </row>
    <row r="35" spans="1:58" ht="16.5" customHeight="1" x14ac:dyDescent="0.25">
      <c r="A35" s="9" t="s">
        <v>100</v>
      </c>
      <c r="B35" s="94">
        <v>8477</v>
      </c>
      <c r="C35" s="88" t="s">
        <v>9</v>
      </c>
      <c r="D35" s="88" t="s">
        <v>10</v>
      </c>
      <c r="E35" s="95">
        <v>15</v>
      </c>
      <c r="F35" s="117">
        <v>46290</v>
      </c>
      <c r="G35" s="96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8"/>
      <c r="T35" s="99"/>
      <c r="U35" s="99"/>
      <c r="V35" s="99"/>
      <c r="W35" s="10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59"/>
      <c r="BD35" s="60"/>
      <c r="BE35" s="61"/>
      <c r="BF35" s="62"/>
    </row>
    <row r="36" spans="1:58" ht="16.5" customHeight="1" x14ac:dyDescent="0.25">
      <c r="A36" s="9" t="s">
        <v>100</v>
      </c>
      <c r="B36" s="94">
        <v>8477</v>
      </c>
      <c r="C36" s="88" t="s">
        <v>149</v>
      </c>
      <c r="D36" s="88" t="s">
        <v>150</v>
      </c>
      <c r="E36" s="95">
        <v>15</v>
      </c>
      <c r="F36" s="117">
        <v>46290</v>
      </c>
      <c r="G36" s="96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8"/>
      <c r="T36" s="99"/>
      <c r="U36" s="99"/>
      <c r="V36" s="99"/>
      <c r="W36" s="10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59"/>
      <c r="BD36" s="60"/>
      <c r="BE36" s="61"/>
      <c r="BF36" s="62"/>
    </row>
    <row r="37" spans="1:58" ht="16.5" customHeight="1" x14ac:dyDescent="0.25">
      <c r="A37" s="9" t="s">
        <v>100</v>
      </c>
      <c r="B37" s="94">
        <v>8477</v>
      </c>
      <c r="C37" s="88" t="s">
        <v>151</v>
      </c>
      <c r="D37" s="88" t="s">
        <v>152</v>
      </c>
      <c r="E37" s="95">
        <v>5</v>
      </c>
      <c r="F37" s="117">
        <v>46290</v>
      </c>
      <c r="G37" s="96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8"/>
      <c r="T37" s="99"/>
      <c r="U37" s="99"/>
      <c r="V37" s="99"/>
      <c r="W37" s="10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59"/>
      <c r="BD37" s="60"/>
      <c r="BE37" s="61"/>
      <c r="BF37" s="62"/>
    </row>
    <row r="38" spans="1:58" ht="16.5" customHeight="1" x14ac:dyDescent="0.25">
      <c r="A38" s="9" t="s">
        <v>100</v>
      </c>
      <c r="B38" s="94">
        <v>8477</v>
      </c>
      <c r="C38" s="88" t="s">
        <v>153</v>
      </c>
      <c r="D38" s="88" t="s">
        <v>154</v>
      </c>
      <c r="E38" s="95">
        <v>15</v>
      </c>
      <c r="F38" s="117">
        <v>46290</v>
      </c>
      <c r="G38" s="96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8"/>
      <c r="T38" s="99"/>
      <c r="U38" s="99"/>
      <c r="V38" s="99"/>
      <c r="W38" s="10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59"/>
      <c r="BD38" s="60"/>
      <c r="BE38" s="61"/>
      <c r="BF38" s="62"/>
    </row>
    <row r="39" spans="1:58" ht="16.5" customHeight="1" x14ac:dyDescent="0.25">
      <c r="A39" s="9" t="s">
        <v>100</v>
      </c>
      <c r="B39" s="94">
        <v>8477</v>
      </c>
      <c r="C39" s="88" t="s">
        <v>155</v>
      </c>
      <c r="D39" s="88" t="s">
        <v>156</v>
      </c>
      <c r="E39" s="95">
        <v>15</v>
      </c>
      <c r="F39" s="117">
        <v>46290</v>
      </c>
      <c r="G39" s="96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8"/>
      <c r="T39" s="99"/>
      <c r="U39" s="99"/>
      <c r="V39" s="99"/>
      <c r="W39" s="10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59"/>
      <c r="BD39" s="60"/>
      <c r="BE39" s="61"/>
      <c r="BF39" s="62"/>
    </row>
    <row r="40" spans="1:58" ht="16.5" customHeight="1" x14ac:dyDescent="0.25">
      <c r="A40" s="9" t="s">
        <v>100</v>
      </c>
      <c r="B40" s="94">
        <v>8477</v>
      </c>
      <c r="C40" s="88" t="s">
        <v>157</v>
      </c>
      <c r="D40" s="88" t="s">
        <v>158</v>
      </c>
      <c r="E40" s="95">
        <v>15</v>
      </c>
      <c r="F40" s="117">
        <v>46290</v>
      </c>
      <c r="G40" s="96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8"/>
      <c r="T40" s="99"/>
      <c r="U40" s="99"/>
      <c r="V40" s="99"/>
      <c r="W40" s="10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59"/>
      <c r="BD40" s="60"/>
      <c r="BE40" s="61"/>
      <c r="BF40" s="62"/>
    </row>
    <row r="41" spans="1:58" ht="32.25" customHeight="1" x14ac:dyDescent="0.25">
      <c r="A41" s="9" t="s">
        <v>100</v>
      </c>
      <c r="B41" s="94">
        <v>8477</v>
      </c>
      <c r="C41" s="88" t="s">
        <v>159</v>
      </c>
      <c r="D41" s="88" t="s">
        <v>160</v>
      </c>
      <c r="E41" s="95">
        <v>15</v>
      </c>
      <c r="F41" s="117">
        <v>46290</v>
      </c>
      <c r="G41" s="96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8"/>
      <c r="T41" s="99"/>
      <c r="U41" s="99"/>
      <c r="V41" s="99"/>
      <c r="W41" s="10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59"/>
      <c r="BD41" s="60"/>
      <c r="BE41" s="61"/>
      <c r="BF41" s="62"/>
    </row>
    <row r="42" spans="1:58" ht="16.5" customHeight="1" x14ac:dyDescent="0.25">
      <c r="A42" s="9" t="s">
        <v>100</v>
      </c>
      <c r="B42" s="94">
        <v>8477</v>
      </c>
      <c r="C42" s="88" t="s">
        <v>161</v>
      </c>
      <c r="D42" s="88" t="s">
        <v>162</v>
      </c>
      <c r="E42" s="95">
        <v>10</v>
      </c>
      <c r="F42" s="117">
        <v>46290</v>
      </c>
      <c r="G42" s="96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8"/>
      <c r="T42" s="99"/>
      <c r="U42" s="99"/>
      <c r="V42" s="99"/>
      <c r="W42" s="10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59">
        <f t="shared" si="3"/>
        <v>0</v>
      </c>
      <c r="BD42" s="60" t="str">
        <f>IF(BC42=E42,"Complete","Lacking")</f>
        <v>Lacking</v>
      </c>
      <c r="BE42" s="61">
        <f>E42-BC42</f>
        <v>10</v>
      </c>
      <c r="BF42" s="62">
        <f>BC42*G42</f>
        <v>0</v>
      </c>
    </row>
    <row r="43" spans="1:58" ht="16.5" customHeight="1" x14ac:dyDescent="0.25">
      <c r="A43" s="9" t="s">
        <v>100</v>
      </c>
      <c r="B43" s="94">
        <v>8477</v>
      </c>
      <c r="C43" s="88" t="s">
        <v>163</v>
      </c>
      <c r="D43" s="88" t="s">
        <v>164</v>
      </c>
      <c r="E43" s="95">
        <v>20</v>
      </c>
      <c r="F43" s="117">
        <v>46290</v>
      </c>
      <c r="G43" s="96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8"/>
      <c r="T43" s="99"/>
      <c r="U43" s="99"/>
      <c r="V43" s="99"/>
      <c r="W43" s="10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59"/>
      <c r="BD43" s="60"/>
      <c r="BE43" s="61"/>
      <c r="BF43" s="62"/>
    </row>
    <row r="44" spans="1:58" ht="16.5" customHeight="1" x14ac:dyDescent="0.25">
      <c r="A44" s="9" t="s">
        <v>100</v>
      </c>
      <c r="B44" s="94">
        <v>8477</v>
      </c>
      <c r="C44" s="88" t="s">
        <v>165</v>
      </c>
      <c r="D44" s="88" t="s">
        <v>166</v>
      </c>
      <c r="E44" s="95">
        <v>20</v>
      </c>
      <c r="F44" s="117">
        <v>46290</v>
      </c>
      <c r="G44" s="96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8"/>
      <c r="T44" s="99"/>
      <c r="U44" s="99"/>
      <c r="V44" s="99"/>
      <c r="W44" s="10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59"/>
      <c r="BD44" s="60"/>
      <c r="BE44" s="61"/>
      <c r="BF44" s="62"/>
    </row>
    <row r="45" spans="1:58" ht="16.5" customHeight="1" x14ac:dyDescent="0.25">
      <c r="A45" s="9" t="s">
        <v>100</v>
      </c>
      <c r="B45" s="94">
        <v>8477</v>
      </c>
      <c r="C45" s="88" t="s">
        <v>167</v>
      </c>
      <c r="D45" s="88" t="s">
        <v>168</v>
      </c>
      <c r="E45" s="95">
        <v>20</v>
      </c>
      <c r="F45" s="117">
        <v>46290</v>
      </c>
      <c r="G45" s="96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8"/>
      <c r="T45" s="99"/>
      <c r="U45" s="99"/>
      <c r="V45" s="99"/>
      <c r="W45" s="10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59"/>
      <c r="BD45" s="60"/>
      <c r="BE45" s="61"/>
      <c r="BF45" s="62"/>
    </row>
    <row r="46" spans="1:58" ht="16.5" customHeight="1" x14ac:dyDescent="0.25">
      <c r="A46" s="9" t="s">
        <v>100</v>
      </c>
      <c r="B46" s="94">
        <v>8477</v>
      </c>
      <c r="C46" s="88" t="s">
        <v>169</v>
      </c>
      <c r="D46" s="88" t="s">
        <v>170</v>
      </c>
      <c r="E46" s="95">
        <v>10</v>
      </c>
      <c r="F46" s="117">
        <v>46290</v>
      </c>
      <c r="G46" s="96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8"/>
      <c r="T46" s="99"/>
      <c r="U46" s="99"/>
      <c r="V46" s="99"/>
      <c r="W46" s="10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59"/>
      <c r="BD46" s="60"/>
      <c r="BE46" s="61"/>
      <c r="BF46" s="62"/>
    </row>
    <row r="47" spans="1:58" ht="16.5" customHeight="1" x14ac:dyDescent="0.25">
      <c r="A47" s="9" t="s">
        <v>100</v>
      </c>
      <c r="B47" s="94">
        <v>8477</v>
      </c>
      <c r="C47" s="88" t="s">
        <v>45</v>
      </c>
      <c r="D47" s="88" t="s">
        <v>46</v>
      </c>
      <c r="E47" s="95">
        <v>15</v>
      </c>
      <c r="F47" s="117">
        <v>46290</v>
      </c>
      <c r="G47" s="96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8"/>
      <c r="T47" s="99"/>
      <c r="U47" s="99"/>
      <c r="V47" s="99"/>
      <c r="W47" s="10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59"/>
      <c r="BD47" s="60"/>
      <c r="BE47" s="61"/>
      <c r="BF47" s="62"/>
    </row>
    <row r="48" spans="1:58" ht="16.5" customHeight="1" x14ac:dyDescent="0.25">
      <c r="A48" s="9" t="s">
        <v>100</v>
      </c>
      <c r="B48" s="94">
        <v>8477</v>
      </c>
      <c r="C48" s="88" t="s">
        <v>171</v>
      </c>
      <c r="D48" s="88" t="s">
        <v>172</v>
      </c>
      <c r="E48" s="95">
        <v>15</v>
      </c>
      <c r="F48" s="117">
        <v>46290</v>
      </c>
      <c r="G48" s="96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  <c r="T48" s="99"/>
      <c r="U48" s="99"/>
      <c r="V48" s="99"/>
      <c r="W48" s="10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59"/>
      <c r="BD48" s="60"/>
      <c r="BE48" s="61"/>
      <c r="BF48" s="62"/>
    </row>
    <row r="49" spans="1:58" ht="16.5" customHeight="1" x14ac:dyDescent="0.25">
      <c r="A49" s="9" t="s">
        <v>100</v>
      </c>
      <c r="B49" s="94">
        <v>8477</v>
      </c>
      <c r="C49" s="88" t="s">
        <v>173</v>
      </c>
      <c r="D49" s="88" t="s">
        <v>174</v>
      </c>
      <c r="E49" s="95">
        <v>15</v>
      </c>
      <c r="F49" s="117">
        <v>46290</v>
      </c>
      <c r="G49" s="96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8"/>
      <c r="T49" s="99"/>
      <c r="U49" s="99"/>
      <c r="V49" s="99"/>
      <c r="W49" s="10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59"/>
      <c r="BD49" s="60"/>
      <c r="BE49" s="61"/>
      <c r="BF49" s="62"/>
    </row>
    <row r="50" spans="1:58" ht="16.5" customHeight="1" x14ac:dyDescent="0.25">
      <c r="A50" s="9" t="s">
        <v>100</v>
      </c>
      <c r="B50" s="94">
        <v>8477</v>
      </c>
      <c r="C50" s="88" t="s">
        <v>175</v>
      </c>
      <c r="D50" s="88" t="s">
        <v>176</v>
      </c>
      <c r="E50" s="95">
        <v>15</v>
      </c>
      <c r="F50" s="117">
        <v>46290</v>
      </c>
      <c r="G50" s="96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8"/>
      <c r="T50" s="99"/>
      <c r="U50" s="99"/>
      <c r="V50" s="99"/>
      <c r="W50" s="10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59"/>
      <c r="BD50" s="60"/>
      <c r="BE50" s="61"/>
      <c r="BF50" s="62"/>
    </row>
    <row r="51" spans="1:58" ht="16.5" customHeight="1" x14ac:dyDescent="0.25">
      <c r="A51" s="9" t="s">
        <v>100</v>
      </c>
      <c r="B51" s="94">
        <v>8477</v>
      </c>
      <c r="C51" s="88" t="s">
        <v>177</v>
      </c>
      <c r="D51" s="88" t="s">
        <v>178</v>
      </c>
      <c r="E51" s="95">
        <v>15</v>
      </c>
      <c r="F51" s="117">
        <v>46290</v>
      </c>
      <c r="G51" s="96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8"/>
      <c r="T51" s="99"/>
      <c r="U51" s="99"/>
      <c r="V51" s="99"/>
      <c r="W51" s="10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59"/>
      <c r="BD51" s="60"/>
      <c r="BE51" s="61"/>
      <c r="BF51" s="62"/>
    </row>
    <row r="52" spans="1:58" ht="16.5" customHeight="1" x14ac:dyDescent="0.25">
      <c r="A52" s="9" t="s">
        <v>100</v>
      </c>
      <c r="B52" s="94">
        <v>8477</v>
      </c>
      <c r="C52" s="88" t="s">
        <v>179</v>
      </c>
      <c r="D52" s="88" t="s">
        <v>180</v>
      </c>
      <c r="E52" s="95">
        <v>15</v>
      </c>
      <c r="F52" s="117">
        <v>46290</v>
      </c>
      <c r="G52" s="96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8"/>
      <c r="T52" s="99"/>
      <c r="U52" s="99"/>
      <c r="V52" s="99"/>
      <c r="W52" s="10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59">
        <f t="shared" si="3"/>
        <v>0</v>
      </c>
      <c r="BD52" s="60" t="str">
        <f>IF(BC52=E52,"Complete","Lacking")</f>
        <v>Lacking</v>
      </c>
      <c r="BE52" s="61">
        <f>E52-BC52</f>
        <v>15</v>
      </c>
      <c r="BF52" s="62">
        <f>BC52*G52</f>
        <v>0</v>
      </c>
    </row>
    <row r="53" spans="1:58" ht="16.5" customHeight="1" x14ac:dyDescent="0.25">
      <c r="A53" s="9" t="s">
        <v>100</v>
      </c>
      <c r="B53" s="94">
        <v>8477</v>
      </c>
      <c r="C53" s="88" t="s">
        <v>181</v>
      </c>
      <c r="D53" s="88" t="s">
        <v>182</v>
      </c>
      <c r="E53" s="95">
        <v>10</v>
      </c>
      <c r="F53" s="117">
        <v>46290</v>
      </c>
      <c r="G53" s="9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8"/>
      <c r="T53" s="99"/>
      <c r="U53" s="99"/>
      <c r="V53" s="99"/>
      <c r="W53" s="10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59"/>
      <c r="BD53" s="60"/>
      <c r="BE53" s="61"/>
      <c r="BF53" s="62"/>
    </row>
    <row r="54" spans="1:58" ht="16.5" customHeight="1" x14ac:dyDescent="0.25">
      <c r="A54" s="9" t="s">
        <v>100</v>
      </c>
      <c r="B54" s="94">
        <v>8477</v>
      </c>
      <c r="C54" s="88" t="s">
        <v>183</v>
      </c>
      <c r="D54" s="88" t="s">
        <v>184</v>
      </c>
      <c r="E54" s="95">
        <v>10</v>
      </c>
      <c r="F54" s="117">
        <v>46290</v>
      </c>
      <c r="G54" s="96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8"/>
      <c r="T54" s="99"/>
      <c r="U54" s="99"/>
      <c r="V54" s="99"/>
      <c r="W54" s="10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59"/>
      <c r="BD54" s="60"/>
      <c r="BE54" s="61"/>
      <c r="BF54" s="62"/>
    </row>
    <row r="55" spans="1:58" ht="16.5" customHeight="1" x14ac:dyDescent="0.25">
      <c r="A55" s="9" t="s">
        <v>100</v>
      </c>
      <c r="B55" s="94">
        <v>8477</v>
      </c>
      <c r="C55" s="88" t="s">
        <v>185</v>
      </c>
      <c r="D55" s="88" t="s">
        <v>186</v>
      </c>
      <c r="E55" s="95">
        <v>10</v>
      </c>
      <c r="F55" s="117">
        <v>46290</v>
      </c>
      <c r="G55" s="96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8"/>
      <c r="T55" s="99"/>
      <c r="U55" s="99"/>
      <c r="V55" s="99"/>
      <c r="W55" s="10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59"/>
      <c r="BD55" s="60"/>
      <c r="BE55" s="61"/>
      <c r="BF55" s="62"/>
    </row>
    <row r="56" spans="1:58" ht="16.5" customHeight="1" x14ac:dyDescent="0.25">
      <c r="A56" s="9" t="s">
        <v>100</v>
      </c>
      <c r="B56" s="94">
        <v>8477</v>
      </c>
      <c r="C56" s="88" t="s">
        <v>187</v>
      </c>
      <c r="D56" s="88" t="s">
        <v>188</v>
      </c>
      <c r="E56" s="95">
        <v>5</v>
      </c>
      <c r="F56" s="117">
        <v>46290</v>
      </c>
      <c r="G56" s="96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8"/>
      <c r="T56" s="99"/>
      <c r="U56" s="99"/>
      <c r="V56" s="99"/>
      <c r="W56" s="10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59"/>
      <c r="BD56" s="60"/>
      <c r="BE56" s="61"/>
      <c r="BF56" s="62"/>
    </row>
    <row r="57" spans="1:58" ht="16.5" customHeight="1" x14ac:dyDescent="0.25">
      <c r="A57" s="9" t="s">
        <v>100</v>
      </c>
      <c r="B57" s="94">
        <v>8477</v>
      </c>
      <c r="C57" s="88" t="s">
        <v>189</v>
      </c>
      <c r="D57" s="88" t="s">
        <v>190</v>
      </c>
      <c r="E57" s="95">
        <v>18</v>
      </c>
      <c r="F57" s="117">
        <v>46290</v>
      </c>
      <c r="G57" s="96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8"/>
      <c r="T57" s="99"/>
      <c r="U57" s="99"/>
      <c r="V57" s="99"/>
      <c r="W57" s="10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59"/>
      <c r="BD57" s="60"/>
      <c r="BE57" s="61"/>
      <c r="BF57" s="62"/>
    </row>
    <row r="58" spans="1:58" ht="16.5" customHeight="1" x14ac:dyDescent="0.25">
      <c r="A58" s="9" t="s">
        <v>100</v>
      </c>
      <c r="B58" s="94">
        <v>8477</v>
      </c>
      <c r="C58" s="88" t="s">
        <v>191</v>
      </c>
      <c r="D58" s="88" t="s">
        <v>192</v>
      </c>
      <c r="E58" s="95">
        <v>18</v>
      </c>
      <c r="F58" s="117">
        <v>46290</v>
      </c>
      <c r="G58" s="96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8"/>
      <c r="T58" s="99"/>
      <c r="U58" s="99"/>
      <c r="V58" s="99"/>
      <c r="W58" s="10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59"/>
      <c r="BD58" s="60"/>
      <c r="BE58" s="61"/>
      <c r="BF58" s="62"/>
    </row>
    <row r="59" spans="1:58" ht="16.5" customHeight="1" x14ac:dyDescent="0.25">
      <c r="A59" s="9" t="s">
        <v>100</v>
      </c>
      <c r="B59" s="94">
        <v>8477</v>
      </c>
      <c r="C59" s="88" t="s">
        <v>193</v>
      </c>
      <c r="D59" s="88" t="s">
        <v>194</v>
      </c>
      <c r="E59" s="95">
        <v>10</v>
      </c>
      <c r="F59" s="117">
        <v>46290</v>
      </c>
      <c r="G59" s="96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8"/>
      <c r="T59" s="99"/>
      <c r="U59" s="99"/>
      <c r="V59" s="99"/>
      <c r="W59" s="10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59"/>
      <c r="BD59" s="60"/>
      <c r="BE59" s="61"/>
      <c r="BF59" s="62"/>
    </row>
    <row r="60" spans="1:58" ht="16.5" customHeight="1" x14ac:dyDescent="0.25">
      <c r="A60" s="9" t="s">
        <v>100</v>
      </c>
      <c r="B60" s="94">
        <v>8477</v>
      </c>
      <c r="C60" s="88" t="s">
        <v>195</v>
      </c>
      <c r="D60" s="88" t="s">
        <v>196</v>
      </c>
      <c r="E60" s="95">
        <v>10</v>
      </c>
      <c r="F60" s="117">
        <v>46290</v>
      </c>
      <c r="G60" s="96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8"/>
      <c r="T60" s="99"/>
      <c r="U60" s="99"/>
      <c r="V60" s="99"/>
      <c r="W60" s="10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59"/>
      <c r="BD60" s="60"/>
      <c r="BE60" s="61"/>
      <c r="BF60" s="62"/>
    </row>
    <row r="61" spans="1:58" ht="16.5" customHeight="1" x14ac:dyDescent="0.25">
      <c r="A61" s="9" t="s">
        <v>100</v>
      </c>
      <c r="B61" s="94">
        <v>8477</v>
      </c>
      <c r="C61" s="88" t="s">
        <v>197</v>
      </c>
      <c r="D61" s="88" t="s">
        <v>198</v>
      </c>
      <c r="E61" s="95">
        <v>24</v>
      </c>
      <c r="F61" s="117">
        <v>46290</v>
      </c>
      <c r="G61" s="96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8"/>
      <c r="T61" s="99"/>
      <c r="U61" s="99"/>
      <c r="V61" s="99"/>
      <c r="W61" s="10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59"/>
      <c r="BD61" s="60"/>
      <c r="BE61" s="61"/>
      <c r="BF61" s="62"/>
    </row>
    <row r="62" spans="1:58" ht="16.5" customHeight="1" x14ac:dyDescent="0.25">
      <c r="A62" s="9" t="s">
        <v>100</v>
      </c>
      <c r="B62" s="94">
        <v>8477</v>
      </c>
      <c r="C62" s="111" t="s">
        <v>199</v>
      </c>
      <c r="D62" s="88" t="s">
        <v>200</v>
      </c>
      <c r="E62" s="95">
        <v>24</v>
      </c>
      <c r="F62" s="117">
        <v>46290</v>
      </c>
      <c r="G62" s="96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8"/>
      <c r="T62" s="99"/>
      <c r="U62" s="99"/>
      <c r="V62" s="99"/>
      <c r="W62" s="10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59">
        <f t="shared" si="3"/>
        <v>0</v>
      </c>
      <c r="BD62" s="60" t="str">
        <f>IF(BC62=E62,"Complete","Lacking")</f>
        <v>Lacking</v>
      </c>
      <c r="BE62" s="61">
        <f>E62-BC62</f>
        <v>24</v>
      </c>
      <c r="BF62" s="62">
        <f>BC62*G62</f>
        <v>0</v>
      </c>
    </row>
    <row r="63" spans="1:58" ht="16.5" customHeight="1" x14ac:dyDescent="0.25">
      <c r="A63" s="9" t="s">
        <v>100</v>
      </c>
      <c r="B63" s="94">
        <v>8477</v>
      </c>
      <c r="C63" s="111" t="s">
        <v>201</v>
      </c>
      <c r="D63" s="88" t="s">
        <v>202</v>
      </c>
      <c r="E63" s="95">
        <v>24</v>
      </c>
      <c r="F63" s="117">
        <v>46290</v>
      </c>
      <c r="G63" s="96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8"/>
      <c r="T63" s="99"/>
      <c r="U63" s="99"/>
      <c r="V63" s="99"/>
      <c r="W63" s="10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59"/>
      <c r="BD63" s="60"/>
      <c r="BE63" s="61"/>
      <c r="BF63" s="62"/>
    </row>
    <row r="64" spans="1:58" ht="16.5" customHeight="1" x14ac:dyDescent="0.25">
      <c r="A64" s="9" t="s">
        <v>100</v>
      </c>
      <c r="B64" s="94">
        <v>8477</v>
      </c>
      <c r="C64" s="111" t="s">
        <v>17</v>
      </c>
      <c r="D64" s="88" t="s">
        <v>18</v>
      </c>
      <c r="E64" s="95">
        <v>32</v>
      </c>
      <c r="F64" s="117">
        <v>46290</v>
      </c>
      <c r="G64" s="96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8"/>
      <c r="T64" s="99"/>
      <c r="U64" s="99"/>
      <c r="V64" s="99"/>
      <c r="W64" s="10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59"/>
      <c r="BD64" s="60"/>
      <c r="BE64" s="61"/>
      <c r="BF64" s="62"/>
    </row>
    <row r="65" spans="1:58" ht="16.5" customHeight="1" x14ac:dyDescent="0.25">
      <c r="A65" s="9" t="s">
        <v>100</v>
      </c>
      <c r="B65" s="94">
        <v>8477</v>
      </c>
      <c r="C65" s="111" t="s">
        <v>203</v>
      </c>
      <c r="D65" s="88" t="s">
        <v>204</v>
      </c>
      <c r="E65" s="95">
        <v>32</v>
      </c>
      <c r="F65" s="117">
        <v>46290</v>
      </c>
      <c r="G65" s="96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8"/>
      <c r="T65" s="99"/>
      <c r="U65" s="99"/>
      <c r="V65" s="99"/>
      <c r="W65" s="10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59"/>
      <c r="BD65" s="60"/>
      <c r="BE65" s="61"/>
      <c r="BF65" s="62"/>
    </row>
    <row r="66" spans="1:58" ht="16.5" customHeight="1" x14ac:dyDescent="0.25">
      <c r="A66" s="9" t="s">
        <v>100</v>
      </c>
      <c r="B66" s="94">
        <v>8477</v>
      </c>
      <c r="C66" s="111" t="s">
        <v>205</v>
      </c>
      <c r="D66" s="88" t="s">
        <v>206</v>
      </c>
      <c r="E66" s="95">
        <v>32</v>
      </c>
      <c r="F66" s="117">
        <v>46290</v>
      </c>
      <c r="G66" s="96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8"/>
      <c r="T66" s="99"/>
      <c r="U66" s="99"/>
      <c r="V66" s="99"/>
      <c r="W66" s="10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59"/>
      <c r="BD66" s="60"/>
      <c r="BE66" s="61"/>
      <c r="BF66" s="62"/>
    </row>
    <row r="67" spans="1:58" ht="16.5" customHeight="1" x14ac:dyDescent="0.25">
      <c r="A67" s="9" t="s">
        <v>100</v>
      </c>
      <c r="B67" s="94">
        <v>8477</v>
      </c>
      <c r="C67" s="111" t="s">
        <v>11</v>
      </c>
      <c r="D67" s="88" t="s">
        <v>12</v>
      </c>
      <c r="E67" s="95">
        <v>6</v>
      </c>
      <c r="F67" s="117">
        <v>46290</v>
      </c>
      <c r="G67" s="96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8"/>
      <c r="T67" s="99"/>
      <c r="U67" s="99"/>
      <c r="V67" s="99"/>
      <c r="W67" s="10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59"/>
      <c r="BD67" s="60"/>
      <c r="BE67" s="61"/>
      <c r="BF67" s="62"/>
    </row>
    <row r="68" spans="1:58" ht="16.5" customHeight="1" x14ac:dyDescent="0.25">
      <c r="A68" s="9" t="s">
        <v>100</v>
      </c>
      <c r="B68" s="94">
        <v>8477</v>
      </c>
      <c r="C68" s="111" t="s">
        <v>207</v>
      </c>
      <c r="D68" s="88" t="s">
        <v>208</v>
      </c>
      <c r="E68" s="95">
        <v>6</v>
      </c>
      <c r="F68" s="117">
        <v>46290</v>
      </c>
      <c r="G68" s="96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99"/>
      <c r="U68" s="99"/>
      <c r="V68" s="99"/>
      <c r="W68" s="10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59"/>
      <c r="BD68" s="60"/>
      <c r="BE68" s="61"/>
      <c r="BF68" s="62"/>
    </row>
    <row r="69" spans="1:58" ht="16.5" customHeight="1" x14ac:dyDescent="0.25">
      <c r="A69" s="9" t="s">
        <v>100</v>
      </c>
      <c r="B69" s="94">
        <v>8477</v>
      </c>
      <c r="C69" s="111" t="s">
        <v>209</v>
      </c>
      <c r="D69" s="88" t="s">
        <v>210</v>
      </c>
      <c r="E69" s="95">
        <v>6</v>
      </c>
      <c r="F69" s="117">
        <v>46290</v>
      </c>
      <c r="G69" s="96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8"/>
      <c r="T69" s="99"/>
      <c r="U69" s="99"/>
      <c r="V69" s="99"/>
      <c r="W69" s="10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59"/>
      <c r="BD69" s="60"/>
      <c r="BE69" s="61"/>
      <c r="BF69" s="62"/>
    </row>
    <row r="70" spans="1:58" ht="16.5" customHeight="1" x14ac:dyDescent="0.25">
      <c r="A70" s="9" t="s">
        <v>100</v>
      </c>
      <c r="B70" s="94">
        <v>8477</v>
      </c>
      <c r="C70" s="111" t="s">
        <v>211</v>
      </c>
      <c r="D70" s="88" t="s">
        <v>212</v>
      </c>
      <c r="E70" s="95">
        <v>10</v>
      </c>
      <c r="F70" s="117">
        <v>46290</v>
      </c>
      <c r="G70" s="96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8"/>
      <c r="T70" s="99"/>
      <c r="U70" s="99"/>
      <c r="V70" s="99"/>
      <c r="W70" s="10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59"/>
      <c r="BD70" s="60"/>
      <c r="BE70" s="61"/>
      <c r="BF70" s="62"/>
    </row>
    <row r="71" spans="1:58" ht="16.5" customHeight="1" x14ac:dyDescent="0.25">
      <c r="A71" s="9" t="s">
        <v>100</v>
      </c>
      <c r="B71" s="94">
        <v>8477</v>
      </c>
      <c r="C71" s="111" t="s">
        <v>213</v>
      </c>
      <c r="D71" s="88" t="s">
        <v>214</v>
      </c>
      <c r="E71" s="95">
        <v>10</v>
      </c>
      <c r="F71" s="117">
        <v>46290</v>
      </c>
      <c r="G71" s="96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8"/>
      <c r="T71" s="99"/>
      <c r="U71" s="99"/>
      <c r="V71" s="99"/>
      <c r="W71" s="10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59"/>
      <c r="BD71" s="60"/>
      <c r="BE71" s="61"/>
      <c r="BF71" s="62"/>
    </row>
    <row r="72" spans="1:58" s="63" customFormat="1" x14ac:dyDescent="0.25">
      <c r="A72" s="9" t="s">
        <v>100</v>
      </c>
      <c r="B72" s="48">
        <v>8477</v>
      </c>
      <c r="C72" s="49" t="s">
        <v>215</v>
      </c>
      <c r="D72" s="49" t="s">
        <v>216</v>
      </c>
      <c r="E72" s="50">
        <v>19</v>
      </c>
      <c r="F72" s="117">
        <v>46290</v>
      </c>
      <c r="G72" s="51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70"/>
      <c r="S72" s="53"/>
      <c r="T72" s="54"/>
      <c r="U72" s="54"/>
      <c r="V72" s="54"/>
      <c r="W72" s="55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2">
        <f t="shared" si="3"/>
        <v>0</v>
      </c>
      <c r="BD72" s="71" t="str">
        <f t="shared" ref="BD72:BD80" si="4">IF(BC72=E72,"Complete","Lacking")</f>
        <v>Lacking</v>
      </c>
      <c r="BE72" s="73">
        <f t="shared" ref="BE72:BE80" si="5">E72-BC72</f>
        <v>19</v>
      </c>
      <c r="BF72" s="74">
        <f t="shared" ref="BF72:BF80" si="6">BC72*G72</f>
        <v>0</v>
      </c>
    </row>
    <row r="73" spans="1:58" s="63" customFormat="1" ht="16.5" customHeight="1" x14ac:dyDescent="0.25">
      <c r="A73" s="9" t="s">
        <v>100</v>
      </c>
      <c r="B73" s="48">
        <v>8477</v>
      </c>
      <c r="C73" s="49" t="s">
        <v>217</v>
      </c>
      <c r="D73" s="49" t="s">
        <v>218</v>
      </c>
      <c r="E73" s="50">
        <v>19</v>
      </c>
      <c r="F73" s="117">
        <v>46290</v>
      </c>
      <c r="G73" s="51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3"/>
      <c r="T73" s="75"/>
      <c r="U73" s="54"/>
      <c r="V73" s="75"/>
      <c r="W73" s="55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2">
        <f t="shared" si="3"/>
        <v>0</v>
      </c>
      <c r="BD73" s="71" t="str">
        <f t="shared" si="4"/>
        <v>Lacking</v>
      </c>
      <c r="BE73" s="73">
        <f t="shared" si="5"/>
        <v>19</v>
      </c>
      <c r="BF73" s="74">
        <f t="shared" si="6"/>
        <v>0</v>
      </c>
    </row>
    <row r="74" spans="1:58" s="63" customFormat="1" ht="16.5" customHeight="1" x14ac:dyDescent="0.25">
      <c r="A74" s="9" t="s">
        <v>100</v>
      </c>
      <c r="B74" s="48">
        <v>8477</v>
      </c>
      <c r="C74" s="49" t="s">
        <v>77</v>
      </c>
      <c r="D74" s="49" t="s">
        <v>78</v>
      </c>
      <c r="E74" s="50">
        <v>19</v>
      </c>
      <c r="F74" s="117">
        <v>46290</v>
      </c>
      <c r="G74" s="51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3"/>
      <c r="T74" s="75"/>
      <c r="U74" s="54"/>
      <c r="V74" s="75"/>
      <c r="W74" s="55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2">
        <f t="shared" si="3"/>
        <v>0</v>
      </c>
      <c r="BD74" s="71" t="str">
        <f t="shared" si="4"/>
        <v>Lacking</v>
      </c>
      <c r="BE74" s="73">
        <f t="shared" si="5"/>
        <v>19</v>
      </c>
      <c r="BF74" s="74">
        <f t="shared" si="6"/>
        <v>0</v>
      </c>
    </row>
    <row r="75" spans="1:58" s="63" customFormat="1" ht="16.5" customHeight="1" x14ac:dyDescent="0.25">
      <c r="A75" s="9" t="s">
        <v>100</v>
      </c>
      <c r="B75" s="48">
        <v>8477</v>
      </c>
      <c r="C75" s="49" t="s">
        <v>219</v>
      </c>
      <c r="D75" s="49" t="s">
        <v>220</v>
      </c>
      <c r="E75" s="112">
        <v>20</v>
      </c>
      <c r="F75" s="117">
        <v>46290</v>
      </c>
      <c r="G75" s="51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3"/>
      <c r="T75" s="54"/>
      <c r="U75" s="54"/>
      <c r="V75" s="54"/>
      <c r="W75" s="55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2">
        <f t="shared" si="3"/>
        <v>0</v>
      </c>
      <c r="BD75" s="71" t="str">
        <f t="shared" si="4"/>
        <v>Lacking</v>
      </c>
      <c r="BE75" s="73">
        <f t="shared" si="5"/>
        <v>20</v>
      </c>
      <c r="BF75" s="74">
        <f t="shared" si="6"/>
        <v>0</v>
      </c>
    </row>
    <row r="76" spans="1:58" s="63" customFormat="1" ht="16.5" customHeight="1" x14ac:dyDescent="0.25">
      <c r="A76" s="9" t="s">
        <v>100</v>
      </c>
      <c r="B76" s="48">
        <v>8477</v>
      </c>
      <c r="C76" s="49" t="s">
        <v>222</v>
      </c>
      <c r="D76" s="49" t="s">
        <v>223</v>
      </c>
      <c r="E76" s="112">
        <v>20</v>
      </c>
      <c r="F76" s="117">
        <v>46290</v>
      </c>
      <c r="G76" s="51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3"/>
      <c r="T76" s="54"/>
      <c r="U76" s="54"/>
      <c r="V76" s="54"/>
      <c r="W76" s="76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2">
        <f t="shared" si="3"/>
        <v>0</v>
      </c>
      <c r="BD76" s="71" t="str">
        <f t="shared" si="4"/>
        <v>Lacking</v>
      </c>
      <c r="BE76" s="73">
        <f t="shared" si="5"/>
        <v>20</v>
      </c>
      <c r="BF76" s="74">
        <f t="shared" si="6"/>
        <v>0</v>
      </c>
    </row>
    <row r="77" spans="1:58" s="63" customFormat="1" ht="16.5" customHeight="1" x14ac:dyDescent="0.25">
      <c r="A77" s="9" t="s">
        <v>100</v>
      </c>
      <c r="B77" s="48">
        <v>8477</v>
      </c>
      <c r="C77" s="49" t="s">
        <v>75</v>
      </c>
      <c r="D77" s="49" t="s">
        <v>76</v>
      </c>
      <c r="E77" s="112">
        <v>20</v>
      </c>
      <c r="F77" s="117">
        <v>46290</v>
      </c>
      <c r="G77" s="51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3"/>
      <c r="T77" s="54"/>
      <c r="U77" s="54"/>
      <c r="V77" s="54"/>
      <c r="W77" s="55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2">
        <f t="shared" si="3"/>
        <v>0</v>
      </c>
      <c r="BD77" s="71" t="str">
        <f t="shared" si="4"/>
        <v>Lacking</v>
      </c>
      <c r="BE77" s="73">
        <f t="shared" si="5"/>
        <v>20</v>
      </c>
      <c r="BF77" s="74">
        <f t="shared" si="6"/>
        <v>0</v>
      </c>
    </row>
    <row r="78" spans="1:58" s="63" customFormat="1" ht="16.5" customHeight="1" x14ac:dyDescent="0.25">
      <c r="A78" s="9" t="s">
        <v>100</v>
      </c>
      <c r="B78" s="48">
        <v>8477</v>
      </c>
      <c r="C78" s="49" t="s">
        <v>226</v>
      </c>
      <c r="D78" s="49" t="s">
        <v>227</v>
      </c>
      <c r="E78" s="112">
        <v>25</v>
      </c>
      <c r="F78" s="117">
        <v>46290</v>
      </c>
      <c r="G78" s="51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3"/>
      <c r="T78" s="54"/>
      <c r="U78" s="54"/>
      <c r="V78" s="54"/>
      <c r="W78" s="55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2">
        <f t="shared" si="3"/>
        <v>0</v>
      </c>
      <c r="BD78" s="71" t="str">
        <f t="shared" si="4"/>
        <v>Lacking</v>
      </c>
      <c r="BE78" s="73">
        <f t="shared" si="5"/>
        <v>25</v>
      </c>
      <c r="BF78" s="74">
        <f t="shared" si="6"/>
        <v>0</v>
      </c>
    </row>
    <row r="79" spans="1:58" s="63" customFormat="1" ht="16.5" customHeight="1" x14ac:dyDescent="0.25">
      <c r="A79" s="9" t="s">
        <v>100</v>
      </c>
      <c r="B79" s="48">
        <v>8477</v>
      </c>
      <c r="C79" s="49" t="s">
        <v>229</v>
      </c>
      <c r="D79" s="49" t="s">
        <v>230</v>
      </c>
      <c r="E79" s="50">
        <v>6</v>
      </c>
      <c r="F79" s="117">
        <v>46290</v>
      </c>
      <c r="G79" s="51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70"/>
      <c r="S79" s="53"/>
      <c r="T79" s="54"/>
      <c r="U79" s="54"/>
      <c r="V79" s="54"/>
      <c r="W79" s="55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2">
        <f t="shared" si="3"/>
        <v>0</v>
      </c>
      <c r="BD79" s="71" t="str">
        <f t="shared" si="4"/>
        <v>Lacking</v>
      </c>
      <c r="BE79" s="73">
        <f t="shared" si="5"/>
        <v>6</v>
      </c>
      <c r="BF79" s="74">
        <f t="shared" si="6"/>
        <v>0</v>
      </c>
    </row>
    <row r="80" spans="1:58" s="63" customFormat="1" ht="17.25" customHeight="1" x14ac:dyDescent="0.25">
      <c r="A80" s="9" t="s">
        <v>100</v>
      </c>
      <c r="B80" s="48">
        <v>8477</v>
      </c>
      <c r="C80" s="49" t="s">
        <v>231</v>
      </c>
      <c r="D80" s="49" t="s">
        <v>232</v>
      </c>
      <c r="E80" s="64">
        <v>6</v>
      </c>
      <c r="F80" s="117">
        <v>46290</v>
      </c>
      <c r="G80" s="51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8"/>
      <c r="T80" s="54"/>
      <c r="U80" s="54"/>
      <c r="V80" s="54"/>
      <c r="W80" s="79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2">
        <f t="shared" si="3"/>
        <v>0</v>
      </c>
      <c r="BD80" s="71" t="str">
        <f t="shared" si="4"/>
        <v>Lacking</v>
      </c>
      <c r="BE80" s="73">
        <f t="shared" si="5"/>
        <v>6</v>
      </c>
      <c r="BF80" s="74">
        <f t="shared" si="6"/>
        <v>0</v>
      </c>
    </row>
    <row r="81" spans="3:27" x14ac:dyDescent="0.25">
      <c r="C81" s="88"/>
    </row>
    <row r="87" spans="3:27" x14ac:dyDescent="0.25">
      <c r="AA87" s="93"/>
    </row>
    <row r="94" spans="3:27" x14ac:dyDescent="0.25">
      <c r="AA94" s="93"/>
    </row>
  </sheetData>
  <autoFilter ref="B4:BF80" xr:uid="{00000000-0009-0000-0000-0000B8000000}"/>
  <mergeCells count="22">
    <mergeCell ref="V3:V4"/>
    <mergeCell ref="W3:W4"/>
    <mergeCell ref="BC1:BC2"/>
    <mergeCell ref="H3:H4"/>
    <mergeCell ref="I3:J3"/>
    <mergeCell ref="K3:K4"/>
    <mergeCell ref="L3:L4"/>
    <mergeCell ref="M3:M4"/>
    <mergeCell ref="N3:N4"/>
    <mergeCell ref="O3:O4"/>
    <mergeCell ref="P3:P4"/>
    <mergeCell ref="Q3:Q4"/>
    <mergeCell ref="X1:BB1"/>
    <mergeCell ref="U3:U4"/>
    <mergeCell ref="D1:D4"/>
    <mergeCell ref="F1:G1"/>
    <mergeCell ref="H1:L2"/>
    <mergeCell ref="M1:R2"/>
    <mergeCell ref="T1:T2"/>
    <mergeCell ref="R3:R4"/>
    <mergeCell ref="S3:S4"/>
    <mergeCell ref="T3:T4"/>
  </mergeCells>
  <conditionalFormatting sqref="B3 C3:C4 G3:G4 C10:D12">
    <cfRule type="expression" dxfId="5" priority="3">
      <formula>#REF!="done"</formula>
    </cfRule>
  </conditionalFormatting>
  <conditionalFormatting sqref="T1:V1 U2:V2 T3:V3 T5:V1048576">
    <cfRule type="containsText" dxfId="4" priority="2" operator="containsText" text="Complete">
      <formula>NOT(ISERROR(SEARCH("Complete",T1)))</formula>
    </cfRule>
  </conditionalFormatting>
  <conditionalFormatting sqref="BD1:BD1048576">
    <cfRule type="cellIs" dxfId="3" priority="1" operator="equal">
      <formula>"Lacking"</formula>
    </cfRule>
  </conditionalFormatting>
  <pageMargins left="0.25" right="0" top="1.25" bottom="0.75" header="0.3" footer="0.3"/>
  <pageSetup paperSize="9" scale="78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E5DA-94C5-4E2C-BD6B-4CECC991FCF7}">
  <sheetPr>
    <tabColor rgb="FF00B050"/>
  </sheetPr>
  <dimension ref="A1:BF60"/>
  <sheetViews>
    <sheetView showGridLines="0" zoomScale="58" zoomScaleNormal="58" workbookViewId="0">
      <pane xSplit="5" ySplit="1" topLeftCell="F21" activePane="bottomRight" state="frozen"/>
      <selection pane="topRight" activeCell="D1" sqref="D1"/>
      <selection pane="bottomLeft" activeCell="A4" sqref="A4"/>
      <selection pane="bottomRight" activeCell="U49" sqref="U49"/>
    </sheetView>
  </sheetViews>
  <sheetFormatPr defaultColWidth="9.140625" defaultRowHeight="15" x14ac:dyDescent="0.25"/>
  <cols>
    <col min="1" max="1" width="24.7109375" style="9" bestFit="1" customWidth="1"/>
    <col min="2" max="2" width="15.42578125" style="9" bestFit="1" customWidth="1"/>
    <col min="3" max="3" width="22.28515625" style="9" bestFit="1" customWidth="1"/>
    <col min="4" max="4" width="25.42578125" style="9" customWidth="1"/>
    <col min="5" max="5" width="6.42578125" style="89" customWidth="1"/>
    <col min="6" max="6" width="25.28515625" style="9" bestFit="1" customWidth="1"/>
    <col min="7" max="7" width="7.28515625" style="9" customWidth="1"/>
    <col min="8" max="8" width="6.42578125" style="9" customWidth="1"/>
    <col min="9" max="17" width="6.85546875" style="9" customWidth="1"/>
    <col min="18" max="18" width="6.85546875" style="8" customWidth="1"/>
    <col min="19" max="19" width="15.42578125" style="90" customWidth="1"/>
    <col min="20" max="20" width="13.28515625" style="91" hidden="1" customWidth="1"/>
    <col min="21" max="21" width="22.28515625" style="91" customWidth="1"/>
    <col min="22" max="22" width="18" style="91" customWidth="1"/>
    <col min="23" max="23" width="32.7109375" style="92" customWidth="1"/>
    <col min="24" max="33" width="4.85546875" style="9" customWidth="1"/>
    <col min="34" max="54" width="4.85546875" style="9" hidden="1" customWidth="1"/>
    <col min="55" max="55" width="10.7109375" style="9" customWidth="1"/>
    <col min="56" max="56" width="10.28515625" style="8" customWidth="1"/>
    <col min="57" max="57" width="6" style="8" customWidth="1"/>
    <col min="58" max="58" width="7.7109375" style="9" customWidth="1"/>
    <col min="59" max="16384" width="9.140625" style="9"/>
  </cols>
  <sheetData>
    <row r="1" spans="1:58" ht="16.5" customHeight="1" x14ac:dyDescent="0.25">
      <c r="A1" s="9" t="s">
        <v>450</v>
      </c>
      <c r="B1" s="45" t="s">
        <v>445</v>
      </c>
      <c r="C1" s="31" t="s">
        <v>446</v>
      </c>
      <c r="D1" s="32" t="s">
        <v>447</v>
      </c>
      <c r="E1" s="33" t="s">
        <v>448</v>
      </c>
      <c r="F1" s="34" t="s">
        <v>449</v>
      </c>
      <c r="G1" s="34"/>
      <c r="H1" s="35"/>
      <c r="I1" s="35"/>
      <c r="J1" s="35"/>
      <c r="K1" s="46"/>
      <c r="L1" s="46"/>
      <c r="M1" s="46"/>
      <c r="N1" s="46"/>
      <c r="O1" s="46"/>
      <c r="P1" s="46"/>
      <c r="Q1" s="46"/>
      <c r="R1" s="46"/>
      <c r="S1" s="47"/>
      <c r="T1" s="37"/>
      <c r="U1" s="37"/>
      <c r="V1" s="37"/>
      <c r="W1" s="38"/>
      <c r="X1" s="39"/>
      <c r="Y1" s="40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6" t="e">
        <f>#REF!/#REF!</f>
        <v>#REF!</v>
      </c>
      <c r="BD1" s="42"/>
      <c r="BE1" s="42"/>
      <c r="BF1" s="43"/>
    </row>
    <row r="2" spans="1:58" ht="16.5" customHeight="1" x14ac:dyDescent="0.25">
      <c r="A2" s="9" t="s">
        <v>3</v>
      </c>
      <c r="B2" s="48">
        <v>8641</v>
      </c>
      <c r="C2" s="49" t="s">
        <v>9</v>
      </c>
      <c r="D2" s="49" t="s">
        <v>10</v>
      </c>
      <c r="E2" s="50">
        <v>60</v>
      </c>
      <c r="F2" s="116">
        <v>46276</v>
      </c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3"/>
      <c r="T2" s="54"/>
      <c r="U2" s="54"/>
      <c r="V2" s="54"/>
      <c r="W2" s="55"/>
      <c r="X2" s="56"/>
      <c r="Y2" s="57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9">
        <f>SUM(X2:BB2)</f>
        <v>0</v>
      </c>
      <c r="BD2" s="60" t="str">
        <f t="shared" ref="BD2:BD10" si="0">IF(BC2=E2,"Complete","Lacking")</f>
        <v>Lacking</v>
      </c>
      <c r="BE2" s="61">
        <f t="shared" ref="BE2:BE10" si="1">E2-BC2</f>
        <v>60</v>
      </c>
      <c r="BF2" s="62">
        <f t="shared" ref="BF2:BF10" si="2">BC2*G2</f>
        <v>0</v>
      </c>
    </row>
    <row r="3" spans="1:58" ht="16.5" customHeight="1" x14ac:dyDescent="0.25">
      <c r="A3" s="9" t="s">
        <v>3</v>
      </c>
      <c r="B3" s="48">
        <v>8641</v>
      </c>
      <c r="C3" s="49" t="s">
        <v>11</v>
      </c>
      <c r="D3" s="49" t="s">
        <v>12</v>
      </c>
      <c r="E3" s="50">
        <v>102</v>
      </c>
      <c r="F3" s="116">
        <v>46276</v>
      </c>
      <c r="G3" s="51"/>
      <c r="H3" s="52"/>
      <c r="I3" s="52"/>
      <c r="J3" s="52"/>
      <c r="K3" s="52"/>
      <c r="L3" s="52"/>
      <c r="M3" s="63"/>
      <c r="N3" s="52"/>
      <c r="O3" s="52"/>
      <c r="P3" s="52"/>
      <c r="Q3" s="52"/>
      <c r="R3" s="52"/>
      <c r="S3" s="53"/>
      <c r="T3" s="54"/>
      <c r="U3" s="54"/>
      <c r="V3" s="54"/>
      <c r="W3" s="55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59">
        <f t="shared" ref="BC3:BC46" si="3">SUM(X3:BB3)</f>
        <v>0</v>
      </c>
      <c r="BD3" s="60" t="str">
        <f t="shared" si="0"/>
        <v>Lacking</v>
      </c>
      <c r="BE3" s="61">
        <f t="shared" si="1"/>
        <v>102</v>
      </c>
      <c r="BF3" s="62">
        <f t="shared" si="2"/>
        <v>0</v>
      </c>
    </row>
    <row r="4" spans="1:58" ht="16.5" customHeight="1" x14ac:dyDescent="0.25">
      <c r="A4" s="9" t="s">
        <v>3</v>
      </c>
      <c r="B4" s="48">
        <v>8641</v>
      </c>
      <c r="C4" s="49" t="s">
        <v>13</v>
      </c>
      <c r="D4" s="49" t="s">
        <v>14</v>
      </c>
      <c r="E4" s="64">
        <v>200</v>
      </c>
      <c r="F4" s="116">
        <v>46276</v>
      </c>
      <c r="G4" s="51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3"/>
      <c r="T4" s="54"/>
      <c r="U4" s="54"/>
      <c r="V4" s="54"/>
      <c r="W4" s="55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59">
        <f t="shared" si="3"/>
        <v>0</v>
      </c>
      <c r="BD4" s="60" t="str">
        <f t="shared" si="0"/>
        <v>Lacking</v>
      </c>
      <c r="BE4" s="61">
        <f t="shared" si="1"/>
        <v>200</v>
      </c>
      <c r="BF4" s="62">
        <f t="shared" si="2"/>
        <v>0</v>
      </c>
    </row>
    <row r="5" spans="1:58" s="69" customFormat="1" ht="16.5" customHeight="1" x14ac:dyDescent="0.25">
      <c r="A5" s="9" t="s">
        <v>3</v>
      </c>
      <c r="B5" s="48">
        <v>8641</v>
      </c>
      <c r="C5" s="49" t="s">
        <v>15</v>
      </c>
      <c r="D5" s="49" t="s">
        <v>16</v>
      </c>
      <c r="E5" s="64">
        <v>84</v>
      </c>
      <c r="F5" s="116">
        <v>46276</v>
      </c>
      <c r="G5" s="51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3"/>
      <c r="T5" s="54"/>
      <c r="U5" s="54"/>
      <c r="V5" s="54"/>
      <c r="W5" s="5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6">
        <f t="shared" si="3"/>
        <v>0</v>
      </c>
      <c r="BD5" s="65" t="str">
        <f t="shared" si="0"/>
        <v>Lacking</v>
      </c>
      <c r="BE5" s="67">
        <f t="shared" si="1"/>
        <v>84</v>
      </c>
      <c r="BF5" s="68">
        <f t="shared" si="2"/>
        <v>0</v>
      </c>
    </row>
    <row r="6" spans="1:58" s="69" customFormat="1" ht="16.5" customHeight="1" x14ac:dyDescent="0.25">
      <c r="A6" s="9" t="s">
        <v>3</v>
      </c>
      <c r="B6" s="48">
        <v>8641</v>
      </c>
      <c r="C6" s="49" t="s">
        <v>17</v>
      </c>
      <c r="D6" s="49" t="s">
        <v>18</v>
      </c>
      <c r="E6" s="64">
        <v>448</v>
      </c>
      <c r="F6" s="116">
        <v>46276</v>
      </c>
      <c r="G6" s="51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3"/>
      <c r="T6" s="54"/>
      <c r="U6" s="54"/>
      <c r="V6" s="54"/>
      <c r="W6" s="5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6">
        <f t="shared" si="3"/>
        <v>0</v>
      </c>
      <c r="BD6" s="65" t="str">
        <f t="shared" si="0"/>
        <v>Lacking</v>
      </c>
      <c r="BE6" s="67">
        <f t="shared" si="1"/>
        <v>448</v>
      </c>
      <c r="BF6" s="68">
        <f t="shared" si="2"/>
        <v>0</v>
      </c>
    </row>
    <row r="7" spans="1:58" s="69" customFormat="1" ht="16.5" customHeight="1" x14ac:dyDescent="0.25">
      <c r="A7" s="9" t="s">
        <v>3</v>
      </c>
      <c r="B7" s="48">
        <v>8641</v>
      </c>
      <c r="C7" s="49" t="s">
        <v>19</v>
      </c>
      <c r="D7" s="49" t="s">
        <v>20</v>
      </c>
      <c r="E7" s="64">
        <v>450</v>
      </c>
      <c r="F7" s="116">
        <v>46276</v>
      </c>
      <c r="G7" s="51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3"/>
      <c r="T7" s="54"/>
      <c r="U7" s="54"/>
      <c r="V7" s="54"/>
      <c r="W7" s="5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6">
        <f t="shared" si="3"/>
        <v>0</v>
      </c>
      <c r="BD7" s="65" t="str">
        <f t="shared" si="0"/>
        <v>Lacking</v>
      </c>
      <c r="BE7" s="67">
        <f t="shared" si="1"/>
        <v>450</v>
      </c>
      <c r="BF7" s="68">
        <f t="shared" si="2"/>
        <v>0</v>
      </c>
    </row>
    <row r="8" spans="1:58" s="69" customFormat="1" ht="16.5" customHeight="1" x14ac:dyDescent="0.25">
      <c r="A8" s="9" t="s">
        <v>3</v>
      </c>
      <c r="B8" s="48">
        <v>8641</v>
      </c>
      <c r="C8" s="49" t="s">
        <v>21</v>
      </c>
      <c r="D8" s="49" t="s">
        <v>22</v>
      </c>
      <c r="E8" s="50">
        <v>450</v>
      </c>
      <c r="F8" s="116">
        <v>46276</v>
      </c>
      <c r="G8" s="51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3"/>
      <c r="T8" s="54"/>
      <c r="U8" s="54"/>
      <c r="V8" s="54"/>
      <c r="W8" s="5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6">
        <f t="shared" si="3"/>
        <v>0</v>
      </c>
      <c r="BD8" s="65" t="str">
        <f t="shared" si="0"/>
        <v>Lacking</v>
      </c>
      <c r="BE8" s="67">
        <f t="shared" si="1"/>
        <v>450</v>
      </c>
      <c r="BF8" s="68">
        <f t="shared" si="2"/>
        <v>0</v>
      </c>
    </row>
    <row r="9" spans="1:58" s="69" customFormat="1" ht="16.5" customHeight="1" x14ac:dyDescent="0.25">
      <c r="A9" s="9" t="s">
        <v>3</v>
      </c>
      <c r="B9" s="48">
        <v>8641</v>
      </c>
      <c r="C9" s="49" t="s">
        <v>23</v>
      </c>
      <c r="D9" s="49" t="s">
        <v>24</v>
      </c>
      <c r="E9" s="50">
        <v>204</v>
      </c>
      <c r="F9" s="116">
        <v>46276</v>
      </c>
      <c r="G9" s="51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3"/>
      <c r="T9" s="54"/>
      <c r="U9" s="54"/>
      <c r="V9" s="54"/>
      <c r="W9" s="5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>
        <f t="shared" si="3"/>
        <v>0</v>
      </c>
      <c r="BD9" s="65" t="str">
        <f t="shared" si="0"/>
        <v>Lacking</v>
      </c>
      <c r="BE9" s="67">
        <f t="shared" si="1"/>
        <v>204</v>
      </c>
      <c r="BF9" s="68">
        <f t="shared" si="2"/>
        <v>0</v>
      </c>
    </row>
    <row r="10" spans="1:58" ht="16.5" customHeight="1" x14ac:dyDescent="0.25">
      <c r="A10" s="9" t="s">
        <v>3</v>
      </c>
      <c r="B10" s="48">
        <v>8641</v>
      </c>
      <c r="C10" s="49" t="s">
        <v>25</v>
      </c>
      <c r="D10" s="49" t="s">
        <v>26</v>
      </c>
      <c r="E10" s="64">
        <v>204</v>
      </c>
      <c r="F10" s="116">
        <v>46276</v>
      </c>
      <c r="G10" s="51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3"/>
      <c r="T10" s="54"/>
      <c r="U10" s="54"/>
      <c r="V10" s="54"/>
      <c r="W10" s="55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59">
        <f t="shared" si="3"/>
        <v>0</v>
      </c>
      <c r="BD10" s="60" t="str">
        <f t="shared" si="0"/>
        <v>Lacking</v>
      </c>
      <c r="BE10" s="61">
        <f t="shared" si="1"/>
        <v>204</v>
      </c>
      <c r="BF10" s="62">
        <f t="shared" si="2"/>
        <v>0</v>
      </c>
    </row>
    <row r="11" spans="1:58" ht="16.5" customHeight="1" x14ac:dyDescent="0.25">
      <c r="A11" s="9" t="s">
        <v>3</v>
      </c>
      <c r="B11" s="48">
        <v>8641</v>
      </c>
      <c r="C11" s="49" t="s">
        <v>27</v>
      </c>
      <c r="D11" s="49" t="s">
        <v>28</v>
      </c>
      <c r="E11" s="50">
        <v>100</v>
      </c>
      <c r="F11" s="116">
        <v>46276</v>
      </c>
      <c r="G11" s="51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3"/>
      <c r="T11" s="54"/>
      <c r="U11" s="54"/>
      <c r="V11" s="54"/>
      <c r="W11" s="55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59"/>
      <c r="BD11" s="60"/>
      <c r="BE11" s="61"/>
      <c r="BF11" s="62"/>
    </row>
    <row r="12" spans="1:58" ht="16.5" customHeight="1" x14ac:dyDescent="0.25">
      <c r="A12" s="9" t="s">
        <v>3</v>
      </c>
      <c r="B12" s="48">
        <v>8641</v>
      </c>
      <c r="C12" s="49" t="s">
        <v>29</v>
      </c>
      <c r="D12" s="49" t="s">
        <v>30</v>
      </c>
      <c r="E12" s="50">
        <v>120</v>
      </c>
      <c r="F12" s="116">
        <v>46276</v>
      </c>
      <c r="G12" s="51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3"/>
      <c r="T12" s="54"/>
      <c r="U12" s="54"/>
      <c r="V12" s="54"/>
      <c r="W12" s="55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59"/>
      <c r="BD12" s="60"/>
      <c r="BE12" s="61"/>
      <c r="BF12" s="62"/>
    </row>
    <row r="13" spans="1:58" ht="16.5" customHeight="1" x14ac:dyDescent="0.25">
      <c r="A13" s="9" t="s">
        <v>3</v>
      </c>
      <c r="B13" s="48">
        <v>8641</v>
      </c>
      <c r="C13" s="49" t="s">
        <v>31</v>
      </c>
      <c r="D13" s="49" t="s">
        <v>32</v>
      </c>
      <c r="E13" s="50">
        <v>150</v>
      </c>
      <c r="F13" s="116">
        <v>46276</v>
      </c>
      <c r="G13" s="51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3"/>
      <c r="T13" s="54"/>
      <c r="U13" s="54"/>
      <c r="V13" s="54"/>
      <c r="W13" s="55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59"/>
      <c r="BD13" s="60"/>
      <c r="BE13" s="61"/>
      <c r="BF13" s="62"/>
    </row>
    <row r="14" spans="1:58" ht="16.5" customHeight="1" x14ac:dyDescent="0.25">
      <c r="A14" s="9" t="s">
        <v>3</v>
      </c>
      <c r="B14" s="48">
        <v>8641</v>
      </c>
      <c r="C14" s="49" t="s">
        <v>33</v>
      </c>
      <c r="D14" s="49" t="s">
        <v>34</v>
      </c>
      <c r="E14" s="50">
        <v>150</v>
      </c>
      <c r="F14" s="116">
        <v>46276</v>
      </c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3"/>
      <c r="T14" s="54"/>
      <c r="U14" s="54"/>
      <c r="V14" s="54"/>
      <c r="W14" s="55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59"/>
      <c r="BD14" s="60"/>
      <c r="BE14" s="61"/>
      <c r="BF14" s="62"/>
    </row>
    <row r="15" spans="1:58" ht="16.5" customHeight="1" x14ac:dyDescent="0.25">
      <c r="A15" s="9" t="s">
        <v>3</v>
      </c>
      <c r="B15" s="48">
        <v>8641</v>
      </c>
      <c r="C15" s="49" t="s">
        <v>35</v>
      </c>
      <c r="D15" s="49" t="s">
        <v>36</v>
      </c>
      <c r="E15" s="50">
        <v>24</v>
      </c>
      <c r="F15" s="116">
        <v>46276</v>
      </c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3"/>
      <c r="T15" s="54"/>
      <c r="U15" s="54"/>
      <c r="V15" s="54"/>
      <c r="W15" s="55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59"/>
      <c r="BD15" s="60"/>
      <c r="BE15" s="61"/>
      <c r="BF15" s="62"/>
    </row>
    <row r="16" spans="1:58" ht="16.5" customHeight="1" x14ac:dyDescent="0.25">
      <c r="A16" s="9" t="s">
        <v>3</v>
      </c>
      <c r="B16" s="48">
        <v>8641</v>
      </c>
      <c r="C16" s="49" t="s">
        <v>37</v>
      </c>
      <c r="D16" s="49" t="s">
        <v>38</v>
      </c>
      <c r="E16" s="50">
        <v>60</v>
      </c>
      <c r="F16" s="116">
        <v>46276</v>
      </c>
      <c r="G16" s="51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3"/>
      <c r="T16" s="54"/>
      <c r="U16" s="54"/>
      <c r="V16" s="54"/>
      <c r="W16" s="55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59"/>
      <c r="BD16" s="60"/>
      <c r="BE16" s="61"/>
      <c r="BF16" s="62"/>
    </row>
    <row r="17" spans="1:58" ht="16.5" customHeight="1" x14ac:dyDescent="0.25">
      <c r="A17" s="9" t="s">
        <v>3</v>
      </c>
      <c r="B17" s="48">
        <v>8641</v>
      </c>
      <c r="C17" s="49" t="s">
        <v>39</v>
      </c>
      <c r="D17" s="49" t="s">
        <v>40</v>
      </c>
      <c r="E17" s="50">
        <v>60</v>
      </c>
      <c r="F17" s="116">
        <v>46276</v>
      </c>
      <c r="G17" s="5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3"/>
      <c r="T17" s="54"/>
      <c r="U17" s="54"/>
      <c r="V17" s="54"/>
      <c r="W17" s="55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59"/>
      <c r="BD17" s="60"/>
      <c r="BE17" s="61"/>
      <c r="BF17" s="62"/>
    </row>
    <row r="18" spans="1:58" ht="16.5" customHeight="1" x14ac:dyDescent="0.25">
      <c r="A18" s="9" t="s">
        <v>3</v>
      </c>
      <c r="B18" s="48">
        <v>8641</v>
      </c>
      <c r="C18" s="49" t="s">
        <v>41</v>
      </c>
      <c r="D18" s="49" t="s">
        <v>42</v>
      </c>
      <c r="E18" s="64">
        <v>72</v>
      </c>
      <c r="F18" s="116">
        <v>46276</v>
      </c>
      <c r="G18" s="51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3"/>
      <c r="T18" s="54"/>
      <c r="U18" s="54"/>
      <c r="V18" s="54"/>
      <c r="W18" s="55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59">
        <f t="shared" si="3"/>
        <v>0</v>
      </c>
      <c r="BD18" s="60" t="str">
        <f>IF(BC18=E18,"Complete","Lacking")</f>
        <v>Lacking</v>
      </c>
      <c r="BE18" s="61">
        <f>E18-BC18</f>
        <v>72</v>
      </c>
      <c r="BF18" s="62">
        <f>BC18*G18</f>
        <v>0</v>
      </c>
    </row>
    <row r="19" spans="1:58" ht="16.5" customHeight="1" x14ac:dyDescent="0.25">
      <c r="A19" s="9" t="s">
        <v>3</v>
      </c>
      <c r="B19" s="48">
        <v>8641</v>
      </c>
      <c r="C19" s="49" t="s">
        <v>43</v>
      </c>
      <c r="D19" s="49" t="s">
        <v>44</v>
      </c>
      <c r="E19" s="50">
        <v>200</v>
      </c>
      <c r="F19" s="116">
        <v>46276</v>
      </c>
      <c r="G19" s="51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3"/>
      <c r="T19" s="54"/>
      <c r="U19" s="54"/>
      <c r="V19" s="54"/>
      <c r="W19" s="55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59"/>
      <c r="BD19" s="60"/>
      <c r="BE19" s="61"/>
      <c r="BF19" s="62"/>
    </row>
    <row r="20" spans="1:58" x14ac:dyDescent="0.25">
      <c r="A20" s="9" t="s">
        <v>3</v>
      </c>
      <c r="B20" s="48">
        <v>8641</v>
      </c>
      <c r="C20" s="49" t="s">
        <v>45</v>
      </c>
      <c r="D20" s="49" t="s">
        <v>46</v>
      </c>
      <c r="E20" s="50">
        <v>210</v>
      </c>
      <c r="F20" s="116">
        <v>46276</v>
      </c>
      <c r="G20" s="51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3"/>
      <c r="T20" s="54"/>
      <c r="U20" s="54"/>
      <c r="V20" s="54"/>
      <c r="W20" s="55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59"/>
      <c r="BD20" s="60"/>
      <c r="BE20" s="61"/>
      <c r="BF20" s="62"/>
    </row>
    <row r="21" spans="1:58" ht="16.5" customHeight="1" x14ac:dyDescent="0.25">
      <c r="A21" s="9" t="s">
        <v>3</v>
      </c>
      <c r="B21" s="48">
        <v>8641</v>
      </c>
      <c r="C21" s="49" t="s">
        <v>47</v>
      </c>
      <c r="D21" s="49" t="s">
        <v>48</v>
      </c>
      <c r="E21" s="50">
        <v>60</v>
      </c>
      <c r="F21" s="116">
        <v>46276</v>
      </c>
      <c r="G21" s="51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3"/>
      <c r="T21" s="54"/>
      <c r="U21" s="54"/>
      <c r="V21" s="54"/>
      <c r="W21" s="55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59"/>
      <c r="BD21" s="60"/>
      <c r="BE21" s="61"/>
      <c r="BF21" s="62"/>
    </row>
    <row r="22" spans="1:58" ht="16.5" customHeight="1" x14ac:dyDescent="0.25">
      <c r="A22" s="9" t="s">
        <v>3</v>
      </c>
      <c r="B22" s="48">
        <v>8641</v>
      </c>
      <c r="C22" s="49" t="s">
        <v>49</v>
      </c>
      <c r="D22" s="49" t="s">
        <v>50</v>
      </c>
      <c r="E22" s="50">
        <v>60</v>
      </c>
      <c r="F22" s="116">
        <v>46276</v>
      </c>
      <c r="G22" s="51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3"/>
      <c r="T22" s="54"/>
      <c r="U22" s="54"/>
      <c r="V22" s="54"/>
      <c r="W22" s="55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59"/>
      <c r="BD22" s="60"/>
      <c r="BE22" s="61"/>
      <c r="BF22" s="62"/>
    </row>
    <row r="23" spans="1:58" ht="16.5" customHeight="1" x14ac:dyDescent="0.25">
      <c r="A23" s="9" t="s">
        <v>3</v>
      </c>
      <c r="B23" s="48">
        <v>8641</v>
      </c>
      <c r="C23" s="49" t="s">
        <v>51</v>
      </c>
      <c r="D23" s="49" t="s">
        <v>52</v>
      </c>
      <c r="E23" s="50">
        <v>120</v>
      </c>
      <c r="F23" s="116">
        <v>46276</v>
      </c>
      <c r="G23" s="51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3"/>
      <c r="T23" s="54"/>
      <c r="U23" s="54"/>
      <c r="V23" s="54"/>
      <c r="W23" s="55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59"/>
      <c r="BD23" s="60"/>
      <c r="BE23" s="61"/>
      <c r="BF23" s="62"/>
    </row>
    <row r="24" spans="1:58" ht="16.5" customHeight="1" x14ac:dyDescent="0.25">
      <c r="A24" s="9" t="s">
        <v>3</v>
      </c>
      <c r="B24" s="48">
        <v>8641</v>
      </c>
      <c r="C24" s="49" t="s">
        <v>53</v>
      </c>
      <c r="D24" s="49" t="s">
        <v>54</v>
      </c>
      <c r="E24" s="50">
        <v>28</v>
      </c>
      <c r="F24" s="116">
        <v>46276</v>
      </c>
      <c r="G24" s="51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/>
      <c r="T24" s="54"/>
      <c r="U24" s="54"/>
      <c r="V24" s="54"/>
      <c r="W24" s="55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59"/>
      <c r="BD24" s="60"/>
      <c r="BE24" s="61"/>
      <c r="BF24" s="62"/>
    </row>
    <row r="25" spans="1:58" ht="16.5" customHeight="1" x14ac:dyDescent="0.25">
      <c r="A25" s="9" t="s">
        <v>3</v>
      </c>
      <c r="B25" s="48">
        <v>8641</v>
      </c>
      <c r="C25" s="49" t="s">
        <v>55</v>
      </c>
      <c r="D25" s="49" t="s">
        <v>56</v>
      </c>
      <c r="E25" s="50">
        <v>56</v>
      </c>
      <c r="F25" s="116">
        <v>46276</v>
      </c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3"/>
      <c r="T25" s="54"/>
      <c r="U25" s="54"/>
      <c r="V25" s="54"/>
      <c r="W25" s="55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59"/>
      <c r="BD25" s="60"/>
      <c r="BE25" s="61"/>
      <c r="BF25" s="62"/>
    </row>
    <row r="26" spans="1:58" ht="16.5" customHeight="1" x14ac:dyDescent="0.25">
      <c r="A26" s="9" t="s">
        <v>3</v>
      </c>
      <c r="B26" s="48">
        <v>8641</v>
      </c>
      <c r="C26" s="49" t="s">
        <v>57</v>
      </c>
      <c r="D26" s="49" t="s">
        <v>58</v>
      </c>
      <c r="E26" s="50">
        <v>30</v>
      </c>
      <c r="F26" s="116">
        <v>46276</v>
      </c>
      <c r="G26" s="51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3"/>
      <c r="T26" s="54"/>
      <c r="U26" s="54"/>
      <c r="V26" s="54"/>
      <c r="W26" s="55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59">
        <f t="shared" si="3"/>
        <v>0</v>
      </c>
      <c r="BD26" s="60" t="str">
        <f>IF(BC26=E26,"Complete","Lacking")</f>
        <v>Lacking</v>
      </c>
      <c r="BE26" s="61">
        <f>E26-BC26</f>
        <v>30</v>
      </c>
      <c r="BF26" s="62">
        <f>BC26*G26</f>
        <v>0</v>
      </c>
    </row>
    <row r="27" spans="1:58" ht="16.5" customHeight="1" x14ac:dyDescent="0.25">
      <c r="A27" s="9" t="s">
        <v>3</v>
      </c>
      <c r="B27" s="48">
        <v>8641</v>
      </c>
      <c r="C27" s="49" t="s">
        <v>59</v>
      </c>
      <c r="D27" s="49" t="s">
        <v>60</v>
      </c>
      <c r="E27" s="50">
        <v>20</v>
      </c>
      <c r="F27" s="116">
        <v>46276</v>
      </c>
      <c r="G27" s="51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3"/>
      <c r="T27" s="54"/>
      <c r="U27" s="54"/>
      <c r="V27" s="54"/>
      <c r="W27" s="55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59"/>
      <c r="BD27" s="60"/>
      <c r="BE27" s="61"/>
      <c r="BF27" s="62"/>
    </row>
    <row r="28" spans="1:58" ht="16.5" customHeight="1" x14ac:dyDescent="0.25">
      <c r="A28" s="9" t="s">
        <v>3</v>
      </c>
      <c r="B28" s="48">
        <v>8641</v>
      </c>
      <c r="C28" s="49" t="s">
        <v>61</v>
      </c>
      <c r="D28" s="49" t="s">
        <v>62</v>
      </c>
      <c r="E28" s="50">
        <v>50</v>
      </c>
      <c r="F28" s="116">
        <v>46276</v>
      </c>
      <c r="G28" s="51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3"/>
      <c r="T28" s="54"/>
      <c r="U28" s="54"/>
      <c r="V28" s="54"/>
      <c r="W28" s="55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59"/>
      <c r="BD28" s="60"/>
      <c r="BE28" s="61"/>
      <c r="BF28" s="62"/>
    </row>
    <row r="29" spans="1:58" ht="16.5" customHeight="1" x14ac:dyDescent="0.25">
      <c r="A29" s="9" t="s">
        <v>3</v>
      </c>
      <c r="B29" s="48">
        <v>8641</v>
      </c>
      <c r="C29" s="49" t="s">
        <v>63</v>
      </c>
      <c r="D29" s="49" t="s">
        <v>64</v>
      </c>
      <c r="E29" s="50">
        <v>80</v>
      </c>
      <c r="F29" s="116">
        <v>46276</v>
      </c>
      <c r="G29" s="51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3"/>
      <c r="T29" s="54"/>
      <c r="U29" s="54"/>
      <c r="V29" s="54"/>
      <c r="W29" s="55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59"/>
      <c r="BD29" s="60"/>
      <c r="BE29" s="61"/>
      <c r="BF29" s="62"/>
    </row>
    <row r="30" spans="1:58" ht="16.5" customHeight="1" x14ac:dyDescent="0.25">
      <c r="A30" s="9" t="s">
        <v>3</v>
      </c>
      <c r="B30" s="48">
        <v>8641</v>
      </c>
      <c r="C30" s="49" t="s">
        <v>65</v>
      </c>
      <c r="D30" s="49" t="s">
        <v>66</v>
      </c>
      <c r="E30" s="50">
        <v>108</v>
      </c>
      <c r="F30" s="116">
        <v>46276</v>
      </c>
      <c r="G30" s="51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3"/>
      <c r="T30" s="54"/>
      <c r="U30" s="54"/>
      <c r="V30" s="54"/>
      <c r="W30" s="55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59"/>
      <c r="BD30" s="60"/>
      <c r="BE30" s="61"/>
      <c r="BF30" s="62"/>
    </row>
    <row r="31" spans="1:58" ht="16.5" customHeight="1" x14ac:dyDescent="0.25">
      <c r="A31" s="9" t="s">
        <v>3</v>
      </c>
      <c r="B31" s="48">
        <v>8641</v>
      </c>
      <c r="C31" s="49" t="s">
        <v>67</v>
      </c>
      <c r="D31" s="49" t="s">
        <v>68</v>
      </c>
      <c r="E31" s="50">
        <v>112</v>
      </c>
      <c r="F31" s="116">
        <v>46276</v>
      </c>
      <c r="G31" s="51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3"/>
      <c r="T31" s="54"/>
      <c r="U31" s="54"/>
      <c r="V31" s="54"/>
      <c r="W31" s="55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59"/>
      <c r="BD31" s="60"/>
      <c r="BE31" s="61"/>
      <c r="BF31" s="62"/>
    </row>
    <row r="32" spans="1:58" ht="16.5" customHeight="1" x14ac:dyDescent="0.25">
      <c r="A32" s="9" t="s">
        <v>3</v>
      </c>
      <c r="B32" s="48">
        <v>8641</v>
      </c>
      <c r="C32" s="49" t="s">
        <v>69</v>
      </c>
      <c r="D32" s="49" t="s">
        <v>70</v>
      </c>
      <c r="E32" s="50">
        <v>100</v>
      </c>
      <c r="F32" s="116">
        <v>46276</v>
      </c>
      <c r="G32" s="51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3"/>
      <c r="T32" s="54"/>
      <c r="U32" s="54"/>
      <c r="V32" s="54"/>
      <c r="W32" s="55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59"/>
      <c r="BD32" s="60"/>
      <c r="BE32" s="61"/>
      <c r="BF32" s="62"/>
    </row>
    <row r="33" spans="1:58" ht="16.5" customHeight="1" x14ac:dyDescent="0.25">
      <c r="A33" s="9" t="s">
        <v>3</v>
      </c>
      <c r="B33" s="48">
        <v>8641</v>
      </c>
      <c r="C33" s="49" t="s">
        <v>71</v>
      </c>
      <c r="D33" s="49" t="s">
        <v>72</v>
      </c>
      <c r="E33" s="50">
        <v>112</v>
      </c>
      <c r="F33" s="116">
        <v>46276</v>
      </c>
      <c r="G33" s="51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  <c r="T33" s="54"/>
      <c r="U33" s="54"/>
      <c r="V33" s="54"/>
      <c r="W33" s="55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59"/>
      <c r="BD33" s="60"/>
      <c r="BE33" s="61"/>
      <c r="BF33" s="62"/>
    </row>
    <row r="34" spans="1:58" ht="16.5" customHeight="1" x14ac:dyDescent="0.25">
      <c r="A34" s="9" t="s">
        <v>3</v>
      </c>
      <c r="B34" s="48">
        <v>8641</v>
      </c>
      <c r="C34" s="49" t="s">
        <v>73</v>
      </c>
      <c r="D34" s="49" t="s">
        <v>74</v>
      </c>
      <c r="E34" s="50">
        <v>50</v>
      </c>
      <c r="F34" s="116">
        <v>46276</v>
      </c>
      <c r="G34" s="51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3"/>
      <c r="T34" s="54"/>
      <c r="U34" s="54"/>
      <c r="V34" s="54"/>
      <c r="W34" s="55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59"/>
      <c r="BD34" s="60"/>
      <c r="BE34" s="61"/>
      <c r="BF34" s="62"/>
    </row>
    <row r="35" spans="1:58" ht="32.25" customHeight="1" x14ac:dyDescent="0.25">
      <c r="A35" s="9" t="s">
        <v>3</v>
      </c>
      <c r="B35" s="48">
        <v>8641</v>
      </c>
      <c r="C35" s="49" t="s">
        <v>75</v>
      </c>
      <c r="D35" s="49" t="s">
        <v>76</v>
      </c>
      <c r="E35" s="50">
        <v>160</v>
      </c>
      <c r="F35" s="116">
        <v>46276</v>
      </c>
      <c r="G35" s="51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3"/>
      <c r="T35" s="54"/>
      <c r="U35" s="54"/>
      <c r="V35" s="54"/>
      <c r="W35" s="55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59"/>
      <c r="BD35" s="60"/>
      <c r="BE35" s="61"/>
      <c r="BF35" s="62"/>
    </row>
    <row r="36" spans="1:58" ht="16.5" customHeight="1" x14ac:dyDescent="0.25">
      <c r="A36" s="9" t="s">
        <v>3</v>
      </c>
      <c r="B36" s="48">
        <v>8641</v>
      </c>
      <c r="C36" s="49" t="s">
        <v>77</v>
      </c>
      <c r="D36" s="49" t="s">
        <v>78</v>
      </c>
      <c r="E36" s="50">
        <v>160</v>
      </c>
      <c r="F36" s="116">
        <v>46276</v>
      </c>
      <c r="G36" s="51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3"/>
      <c r="T36" s="54"/>
      <c r="U36" s="54"/>
      <c r="V36" s="54"/>
      <c r="W36" s="55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59">
        <f t="shared" si="3"/>
        <v>0</v>
      </c>
      <c r="BD36" s="60" t="str">
        <f>IF(BC36=E36,"Complete","Lacking")</f>
        <v>Lacking</v>
      </c>
      <c r="BE36" s="61">
        <f>E36-BC36</f>
        <v>160</v>
      </c>
      <c r="BF36" s="62">
        <f>BC36*G36</f>
        <v>0</v>
      </c>
    </row>
    <row r="37" spans="1:58" ht="16.5" customHeight="1" x14ac:dyDescent="0.25">
      <c r="A37" s="9" t="s">
        <v>3</v>
      </c>
      <c r="B37" s="48">
        <v>8641</v>
      </c>
      <c r="C37" s="49" t="s">
        <v>79</v>
      </c>
      <c r="D37" s="49" t="s">
        <v>80</v>
      </c>
      <c r="E37" s="50">
        <v>60</v>
      </c>
      <c r="F37" s="116">
        <v>46276</v>
      </c>
      <c r="G37" s="51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3"/>
      <c r="T37" s="54"/>
      <c r="U37" s="54"/>
      <c r="V37" s="54"/>
      <c r="W37" s="55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59"/>
      <c r="BD37" s="60"/>
      <c r="BE37" s="61"/>
      <c r="BF37" s="62"/>
    </row>
    <row r="38" spans="1:58" ht="16.5" customHeight="1" x14ac:dyDescent="0.25">
      <c r="A38" s="9" t="s">
        <v>3</v>
      </c>
      <c r="B38" s="48">
        <v>8641</v>
      </c>
      <c r="C38" s="49" t="s">
        <v>81</v>
      </c>
      <c r="D38" s="49" t="s">
        <v>82</v>
      </c>
      <c r="E38" s="50">
        <v>175</v>
      </c>
      <c r="F38" s="116">
        <v>46276</v>
      </c>
      <c r="G38" s="51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3"/>
      <c r="T38" s="54"/>
      <c r="U38" s="54"/>
      <c r="V38" s="54"/>
      <c r="W38" s="55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59"/>
      <c r="BD38" s="60"/>
      <c r="BE38" s="61"/>
      <c r="BF38" s="62"/>
    </row>
    <row r="39" spans="1:58" ht="16.5" customHeight="1" x14ac:dyDescent="0.25">
      <c r="A39" s="9" t="s">
        <v>3</v>
      </c>
      <c r="B39" s="48">
        <v>8641</v>
      </c>
      <c r="C39" s="49" t="s">
        <v>83</v>
      </c>
      <c r="D39" s="49" t="s">
        <v>84</v>
      </c>
      <c r="E39" s="50">
        <v>175</v>
      </c>
      <c r="F39" s="116">
        <v>46276</v>
      </c>
      <c r="G39" s="51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54"/>
      <c r="U39" s="54"/>
      <c r="V39" s="54"/>
      <c r="W39" s="55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59"/>
      <c r="BD39" s="60"/>
      <c r="BE39" s="61"/>
      <c r="BF39" s="62"/>
    </row>
    <row r="40" spans="1:58" ht="16.5" customHeight="1" x14ac:dyDescent="0.25">
      <c r="A40" s="9" t="s">
        <v>3</v>
      </c>
      <c r="B40" s="48">
        <v>8641</v>
      </c>
      <c r="C40" s="49" t="s">
        <v>85</v>
      </c>
      <c r="D40" s="49" t="s">
        <v>86</v>
      </c>
      <c r="E40" s="50">
        <v>225</v>
      </c>
      <c r="F40" s="116">
        <v>46276</v>
      </c>
      <c r="G40" s="51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3"/>
      <c r="T40" s="54"/>
      <c r="U40" s="54"/>
      <c r="V40" s="54"/>
      <c r="W40" s="55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59"/>
      <c r="BD40" s="60"/>
      <c r="BE40" s="61"/>
      <c r="BF40" s="62"/>
    </row>
    <row r="41" spans="1:58" ht="16.5" customHeight="1" x14ac:dyDescent="0.25">
      <c r="A41" s="9" t="s">
        <v>3</v>
      </c>
      <c r="B41" s="48">
        <v>8641</v>
      </c>
      <c r="C41" s="49" t="s">
        <v>87</v>
      </c>
      <c r="D41" s="49" t="s">
        <v>88</v>
      </c>
      <c r="E41" s="50">
        <v>200</v>
      </c>
      <c r="F41" s="116">
        <v>46276</v>
      </c>
      <c r="G41" s="51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3"/>
      <c r="T41" s="54"/>
      <c r="U41" s="54"/>
      <c r="V41" s="54"/>
      <c r="W41" s="55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59"/>
      <c r="BD41" s="60"/>
      <c r="BE41" s="61"/>
      <c r="BF41" s="62"/>
    </row>
    <row r="42" spans="1:58" ht="16.5" customHeight="1" x14ac:dyDescent="0.25">
      <c r="A42" s="9" t="s">
        <v>3</v>
      </c>
      <c r="B42" s="48">
        <v>8641</v>
      </c>
      <c r="C42" s="49" t="s">
        <v>89</v>
      </c>
      <c r="D42" s="49" t="s">
        <v>90</v>
      </c>
      <c r="E42" s="50">
        <v>192</v>
      </c>
      <c r="F42" s="116">
        <v>46276</v>
      </c>
      <c r="G42" s="51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3"/>
      <c r="T42" s="54"/>
      <c r="U42" s="54"/>
      <c r="V42" s="54"/>
      <c r="W42" s="55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59"/>
      <c r="BD42" s="60"/>
      <c r="BE42" s="61"/>
      <c r="BF42" s="62"/>
    </row>
    <row r="43" spans="1:58" ht="16.5" customHeight="1" x14ac:dyDescent="0.25">
      <c r="A43" s="9" t="s">
        <v>3</v>
      </c>
      <c r="B43" s="48">
        <v>8641</v>
      </c>
      <c r="C43" s="49" t="s">
        <v>91</v>
      </c>
      <c r="D43" s="49" t="s">
        <v>92</v>
      </c>
      <c r="E43" s="50">
        <v>200</v>
      </c>
      <c r="F43" s="116">
        <v>46276</v>
      </c>
      <c r="G43" s="51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3"/>
      <c r="T43" s="54"/>
      <c r="U43" s="54"/>
      <c r="V43" s="54"/>
      <c r="W43" s="55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59"/>
      <c r="BD43" s="60"/>
      <c r="BE43" s="61"/>
      <c r="BF43" s="62"/>
    </row>
    <row r="44" spans="1:58" ht="16.5" customHeight="1" x14ac:dyDescent="0.25">
      <c r="A44" s="9" t="s">
        <v>3</v>
      </c>
      <c r="B44" s="48">
        <v>8641</v>
      </c>
      <c r="C44" s="49" t="s">
        <v>93</v>
      </c>
      <c r="D44" s="49" t="s">
        <v>94</v>
      </c>
      <c r="E44" s="50">
        <v>630</v>
      </c>
      <c r="F44" s="116">
        <v>46276</v>
      </c>
      <c r="G44" s="51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3"/>
      <c r="T44" s="54"/>
      <c r="U44" s="54"/>
      <c r="V44" s="54"/>
      <c r="W44" s="55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59"/>
      <c r="BD44" s="60"/>
      <c r="BE44" s="61"/>
      <c r="BF44" s="62"/>
    </row>
    <row r="45" spans="1:58" ht="16.5" customHeight="1" x14ac:dyDescent="0.25">
      <c r="A45" s="9" t="s">
        <v>3</v>
      </c>
      <c r="B45" s="48">
        <v>8641</v>
      </c>
      <c r="C45" s="49" t="s">
        <v>95</v>
      </c>
      <c r="D45" s="49" t="s">
        <v>96</v>
      </c>
      <c r="E45" s="50">
        <v>400</v>
      </c>
      <c r="F45" s="116">
        <v>46276</v>
      </c>
      <c r="G45" s="51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3"/>
      <c r="T45" s="54"/>
      <c r="U45" s="54"/>
      <c r="V45" s="54"/>
      <c r="W45" s="55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59"/>
      <c r="BD45" s="60"/>
      <c r="BE45" s="61"/>
      <c r="BF45" s="62"/>
    </row>
    <row r="46" spans="1:58" ht="16.5" customHeight="1" x14ac:dyDescent="0.25">
      <c r="A46" s="9" t="s">
        <v>3</v>
      </c>
      <c r="B46" s="48">
        <v>8641</v>
      </c>
      <c r="C46" s="49" t="s">
        <v>97</v>
      </c>
      <c r="D46" s="49" t="s">
        <v>98</v>
      </c>
      <c r="E46" s="50">
        <v>400</v>
      </c>
      <c r="F46" s="116">
        <v>46276</v>
      </c>
      <c r="G46" s="51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3"/>
      <c r="T46" s="54"/>
      <c r="U46" s="54"/>
      <c r="V46" s="54"/>
      <c r="W46" s="55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59">
        <f t="shared" si="3"/>
        <v>0</v>
      </c>
      <c r="BD46" s="60" t="str">
        <f>IF(BC46=E46,"Complete","Lacking")</f>
        <v>Lacking</v>
      </c>
      <c r="BE46" s="61">
        <f>E46-BC46</f>
        <v>400</v>
      </c>
      <c r="BF46" s="62">
        <f>BC46*G46</f>
        <v>0</v>
      </c>
    </row>
    <row r="47" spans="1:58" x14ac:dyDescent="0.25">
      <c r="C47" s="88"/>
    </row>
    <row r="53" spans="27:27" x14ac:dyDescent="0.25">
      <c r="AA53" s="93"/>
    </row>
    <row r="60" spans="27:27" x14ac:dyDescent="0.25">
      <c r="AA60" s="93"/>
    </row>
  </sheetData>
  <conditionalFormatting sqref="C4:D6">
    <cfRule type="expression" dxfId="2" priority="3">
      <formula>#REF!="done"</formula>
    </cfRule>
  </conditionalFormatting>
  <conditionalFormatting sqref="T1:V1048576">
    <cfRule type="containsText" dxfId="1" priority="2" operator="containsText" text="Complete">
      <formula>NOT(ISERROR(SEARCH("Complete",T1)))</formula>
    </cfRule>
  </conditionalFormatting>
  <conditionalFormatting sqref="BD1:BD1048576">
    <cfRule type="cellIs" dxfId="0" priority="1" operator="equal">
      <formula>"Lacking"</formula>
    </cfRule>
  </conditionalFormatting>
  <pageMargins left="0.25" right="0" top="1.25" bottom="0.75" header="0.3" footer="0.3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USA 8217</vt:lpstr>
      <vt:lpstr>Sheet9</vt:lpstr>
      <vt:lpstr>Sheet4</vt:lpstr>
      <vt:lpstr>Consolidation FG</vt:lpstr>
      <vt:lpstr>Sheet1</vt:lpstr>
      <vt:lpstr>Sheet5</vt:lpstr>
      <vt:lpstr>GEORGIA 8477</vt:lpstr>
      <vt:lpstr>CANADA BSAUNAS 8641 </vt:lpstr>
      <vt:lpstr>'CANADA BSAUNAS 8641 '!Print_Area</vt:lpstr>
      <vt:lpstr>'GEORGIA 8477'!Print_Area</vt:lpstr>
      <vt:lpstr>'USA 8217'!Print_Area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Jennifer</dc:creator>
  <cp:lastModifiedBy>AI Guy</cp:lastModifiedBy>
  <dcterms:created xsi:type="dcterms:W3CDTF">2026-09-03T02:11:49Z</dcterms:created>
  <dcterms:modified xsi:type="dcterms:W3CDTF">2026-10-26T09:31:01Z</dcterms:modified>
</cp:coreProperties>
</file>